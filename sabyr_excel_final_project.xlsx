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hidePivotFieldList="1"/>
  <mc:AlternateContent xmlns:mc="http://schemas.openxmlformats.org/markup-compatibility/2006">
    <mc:Choice Requires="x15">
      <x15ac:absPath xmlns:x15ac="http://schemas.microsoft.com/office/spreadsheetml/2010/11/ac" url="/Users/sabyr/Desktop/SABYR_FINAL_PROJECT/"/>
    </mc:Choice>
  </mc:AlternateContent>
  <xr:revisionPtr revIDLastSave="0" documentId="13_ncr:1_{28FD443A-F229-7C4D-BAE9-A7621603AFA7}" xr6:coauthVersionLast="47" xr6:coauthVersionMax="47" xr10:uidLastSave="{00000000-0000-0000-0000-000000000000}"/>
  <bookViews>
    <workbookView xWindow="0" yWindow="640" windowWidth="30240" windowHeight="17840" xr2:uid="{00000000-000D-0000-FFFF-FFFF00000000}"/>
  </bookViews>
  <sheets>
    <sheet name="Лист1" sheetId="1" r:id="rId1"/>
    <sheet name="Лист2" sheetId="2" r:id="rId2"/>
    <sheet name="Топ 3 за последнюю неделю" sheetId="4" r:id="rId3"/>
    <sheet name="Графики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2" i="1"/>
  <c r="H2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H290" i="1" s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</calcChain>
</file>

<file path=xl/sharedStrings.xml><?xml version="1.0" encoding="utf-8"?>
<sst xmlns="http://schemas.openxmlformats.org/spreadsheetml/2006/main" count="1067" uniqueCount="37">
  <si>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</si>
  <si>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</si>
  <si>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</si>
  <si>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</si>
  <si>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</si>
  <si>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</si>
  <si>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</si>
  <si>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</si>
  <si>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</si>
  <si>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</si>
  <si>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</si>
  <si>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</si>
  <si>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</si>
  <si>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</si>
  <si>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</si>
  <si>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</si>
  <si>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</si>
  <si>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</si>
  <si>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</si>
  <si>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</si>
  <si>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</si>
  <si>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</si>
  <si>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</si>
  <si>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</si>
  <si>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</si>
  <si>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</si>
  <si>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</si>
  <si>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Общий итог</t>
  </si>
  <si>
    <t>Топ 3 территорий по доле в общем товарообороте за последнюю неделю</t>
  </si>
  <si>
    <t>Топ 3 территорий по товарообороту на склад за последнюю неделю</t>
  </si>
  <si>
    <t>Товарооборот</t>
  </si>
  <si>
    <t>Товарооборот склад</t>
  </si>
  <si>
    <t>Доля от товарооборота</t>
  </si>
  <si>
    <t>Номер недели</t>
  </si>
  <si>
    <t>Падение на 23 неделе на графиках связано с тем, что в 23 неделе только один день</t>
  </si>
  <si>
    <t>В 23 неделе только один день, поэтому отчет фактически строится на последнем дне в данных</t>
  </si>
  <si>
    <t xml:space="preserve">Уточню, что отсчет недель года я начал с понедельника. Дипазон получился от 18 до 23 недели, в 18 неделе 6 дней, в 23 только один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</si>
</sst>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2" xfId="0" applyFont="1" applyFill="1" applyBorder="1"/>
    <xf numFmtId="0" fontId="3" fillId="0" borderId="0" xfId="0" applyFont="1"/>
    <xf numFmtId="0" fontId="2" fillId="0" borderId="5" xfId="0" applyFont="1" applyBorder="1"/>
    <xf numFmtId="0" fontId="2" fillId="0" borderId="7" xfId="0" applyFont="1" applyBorder="1"/>
    <xf numFmtId="14" fontId="1" fillId="2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/>
    <xf numFmtId="14" fontId="2" fillId="0" borderId="4" xfId="0" applyNumberFormat="1" applyFont="1" applyBorder="1"/>
    <xf numFmtId="14" fontId="2" fillId="0" borderId="6" xfId="0" applyNumberFormat="1" applyFont="1" applyBorder="1"/>
    <xf numFmtId="14" fontId="0" fillId="0" borderId="0" xfId="0" applyNumberFormat="1"/>
    <xf numFmtId="14" fontId="1" fillId="2" borderId="3" xfId="0" applyNumberFormat="1" applyFont="1" applyFill="1" applyBorder="1" applyAlignment="1">
      <alignment vertical="center" wrapText="1"/>
    </xf>
    <xf numFmtId="14" fontId="2" fillId="0" borderId="0" xfId="0" applyNumberFormat="1" applyFont="1"/>
    <xf numFmtId="2" fontId="1" fillId="2" borderId="2" xfId="0" applyNumberFormat="1" applyFont="1" applyFill="1" applyBorder="1" applyAlignment="1">
      <alignment vertical="center" wrapText="1"/>
    </xf>
    <xf numFmtId="2" fontId="2" fillId="3" borderId="2" xfId="0" applyNumberFormat="1" applyFont="1" applyFill="1" applyBorder="1"/>
    <xf numFmtId="2" fontId="2" fillId="0" borderId="5" xfId="0" applyNumberFormat="1" applyFont="1" applyBorder="1"/>
    <xf numFmtId="2" fontId="2" fillId="0" borderId="7" xfId="0" applyNumberFormat="1" applyFont="1" applyBorder="1"/>
    <xf numFmtId="2" fontId="0" fillId="0" borderId="0" xfId="0" applyNumberFormat="1"/>
    <xf numFmtId="2" fontId="1" fillId="2" borderId="3" xfId="0" applyNumberFormat="1" applyFont="1" applyFill="1" applyBorder="1" applyAlignment="1">
      <alignment vertical="center" wrapText="1"/>
    </xf>
    <xf numFmtId="2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8" xfId="0" applyBorder="1" applyAlignment="1">
      <alignment horizontal="left"/>
    </xf>
    <xf numFmtId="2" fontId="0" fillId="0" borderId="8" xfId="0" applyNumberFormat="1" applyBorder="1"/>
    <xf numFmtId="10" fontId="0" fillId="0" borderId="8" xfId="0" applyNumberFormat="1" applyBorder="1"/>
    <xf numFmtId="0" fontId="0" fillId="0" borderId="8" xfId="0" applyBorder="1"/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[sabyr_excel_final_project.xlsx]Графики!Сводная таблица1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Товароборот</a:t>
            </a:r>
            <a:r>
              <a:rPr lang="ru-RU" baseline="0"/>
              <a:t> по неделям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Графики!$B$4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Графики!$A$5:$A$11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Графики!$B$5:$B$11</c:f>
              <c:numCache>
                <c:formatCode>0.00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04-8D49-AF83-D9B23A916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88511"/>
        <c:axId val="148314687"/>
      </c:lineChart>
      <c:catAx>
        <c:axId val="7688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8314687"/>
        <c:crosses val="autoZero"/>
        <c:auto val="1"/>
        <c:lblAlgn val="ctr"/>
        <c:lblOffset val="100"/>
        <c:noMultiLvlLbl val="0"/>
      </c:catAx>
      <c:valAx>
        <c:axId val="14831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688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dk1">
            <a:satMod val="103000"/>
            <a:lumMod val="102000"/>
            <a:tint val="94000"/>
          </a:schemeClr>
        </a:gs>
        <a:gs pos="50000">
          <a:schemeClr val="dk1">
            <a:satMod val="110000"/>
            <a:lumMod val="100000"/>
            <a:shade val="100000"/>
          </a:schemeClr>
        </a:gs>
        <a:gs pos="100000">
          <a:schemeClr val="dk1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[sabyr_excel_final_project.xlsx]Графики!Сводная таблица4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Товарооборот на склад по неделям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Графики!$G$4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Графики!$F$5:$F$11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Графики!$G$5:$G$11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F-EC4D-ADC7-A02136FEC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76575"/>
        <c:axId val="146973887"/>
      </c:lineChart>
      <c:catAx>
        <c:axId val="1469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6973887"/>
        <c:crosses val="autoZero"/>
        <c:auto val="1"/>
        <c:lblAlgn val="ctr"/>
        <c:lblOffset val="100"/>
        <c:noMultiLvlLbl val="0"/>
      </c:catAx>
      <c:valAx>
        <c:axId val="14697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4697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dk1">
            <a:satMod val="103000"/>
            <a:lumMod val="102000"/>
            <a:tint val="94000"/>
          </a:schemeClr>
        </a:gs>
        <a:gs pos="50000">
          <a:schemeClr val="dk1">
            <a:satMod val="110000"/>
            <a:lumMod val="100000"/>
            <a:shade val="100000"/>
          </a:schemeClr>
        </a:gs>
        <a:gs pos="100000">
          <a:schemeClr val="dk1">
            <a:lumMod val="99000"/>
            <a:satMod val="120000"/>
            <a:shade val="78000"/>
          </a:schemeClr>
        </a:gs>
      </a:gsLst>
      <a:lin ang="5400000" scaled="0"/>
    </a:gradFill>
    <a:ln w="9525" cap="flat" cmpd="sng" algn="ctr">
      <a:noFill/>
      <a:round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28678</xdr:colOff>
      <xdr:row>11</xdr:row>
      <xdr:rowOff>178345</xdr:rowOff>
    </xdr:from>
    <xdr:to>
      <xdr:col>3</xdr:col>
      <xdr:colOff>162506</xdr:colOff>
      <xdr:row>26</xdr:row>
      <xdr:rowOff>53803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6C8B753-63F8-EEE7-FF0A-8EFDD8AD9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1366</xdr:colOff>
      <xdr:row>11</xdr:row>
      <xdr:rowOff>164690</xdr:rowOff>
    </xdr:from>
    <xdr:to>
      <xdr:col>7</xdr:col>
      <xdr:colOff>790677</xdr:colOff>
      <xdr:row>26</xdr:row>
      <xdr:rowOff>40148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E67757F-5431-27CA-28FA-FB8647CE8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yrzhan Amrenov" refreshedDate="46295.134320370373" createdVersion="8" refreshedVersion="8" minRefreshableVersion="3" recordCount="504" xr:uid="{B17C68AA-2A22-A84F-A0B4-BDAF333BE4A8}">
  <cacheSource type="worksheet">
    <worksheetSource ref="A1:I505" sheet="Лист1"/>
  </cacheSource>
  <cacheFields count="11">
    <cacheField name="Дата" numFmtId="1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1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2">
      <sharedItems containsSemiMixedTypes="0" containsString="0" containsNumber="1" minValue="4285.5" maxValue="524481" count="502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</sharedItems>
    </cacheField>
    <cacheField name="Товарооборот, руб" numFmtId="2">
      <sharedItems containsSemiMixedTypes="0" containsString="0" containsNumber="1" minValue="389013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0001"/>
        <n v="31053316.5"/>
        <n v="29042520"/>
        <n v="27852900"/>
        <n v="29368771.617449999"/>
        <n v="27278441.145"/>
        <n v="29159032.5"/>
        <n v="26467453.5"/>
        <n v="28427001"/>
        <n v="28770810.105599999"/>
        <n v="35103926.711549997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49999"/>
        <n v="27535284.147600003"/>
        <n v="28181292"/>
        <n v="32354331"/>
        <n v="39034861.5"/>
        <n v="39498373.5"/>
        <n v="37257840.18135"/>
        <n v="33781581"/>
        <n v="41767140.105000004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6" maxValue="129" count="24">
        <n v="15"/>
        <n v="21"/>
        <n v="20"/>
        <n v="18"/>
        <n v="19"/>
        <n v="31"/>
        <n v="10"/>
        <n v="17"/>
        <n v="129"/>
        <n v="128"/>
        <n v="125"/>
        <n v="124"/>
        <n v="36"/>
        <n v="37"/>
        <n v="23"/>
        <n v="22"/>
        <n v="16"/>
        <n v="59"/>
        <n v="60"/>
        <n v="54"/>
        <n v="7"/>
        <n v="9"/>
        <n v="6"/>
        <n v="123"/>
      </sharedItems>
    </cacheField>
    <cacheField name="Количество заказов" numFmtId="0">
      <sharedItems containsSemiMixedTypes="0" containsString="0" containsNumber="1" containsInteger="1" minValue="237" maxValue="25828" count="481">
        <n v="441"/>
        <n v="490"/>
        <n v="464"/>
        <n v="2145"/>
        <n v="1860"/>
        <n v="1874"/>
        <n v="1735"/>
        <n v="1519"/>
        <n v="1684"/>
        <n v="1708"/>
        <n v="2044"/>
        <n v="1826"/>
        <n v="1656"/>
        <n v="1787"/>
        <n v="1921"/>
        <n v="1773"/>
        <n v="1539"/>
        <n v="1698"/>
        <n v="1520"/>
        <n v="1784"/>
        <n v="2340"/>
        <n v="2087"/>
        <n v="1712"/>
        <n v="2016"/>
        <n v="1646"/>
        <n v="1542"/>
        <n v="1999"/>
        <n v="2271"/>
        <n v="2597"/>
        <n v="1886"/>
        <n v="5593"/>
        <n v="5389"/>
        <n v="5206"/>
        <n v="4556"/>
        <n v="4968"/>
        <n v="5378"/>
        <n v="4157"/>
        <n v="5493"/>
        <n v="6118"/>
        <n v="4800"/>
        <n v="5207"/>
        <n v="5698"/>
        <n v="5188"/>
        <n v="5465"/>
        <n v="5251"/>
        <n v="5155"/>
        <n v="4709"/>
        <n v="6276"/>
        <n v="5210"/>
        <n v="5120"/>
        <n v="5495"/>
        <n v="4635"/>
        <n v="4903"/>
        <n v="5035"/>
        <n v="760"/>
        <n v="649"/>
        <n v="591"/>
        <n v="644"/>
        <n v="462"/>
        <n v="502"/>
        <n v="416"/>
        <n v="692"/>
        <n v="554"/>
        <n v="526"/>
        <n v="677"/>
        <n v="745"/>
        <n v="511"/>
        <n v="580"/>
        <n v="612"/>
        <n v="5760"/>
        <n v="402"/>
        <n v="6735"/>
        <n v="465"/>
        <n v="828"/>
        <n v="5355"/>
        <n v="739"/>
        <n v="448"/>
        <n v="642"/>
        <n v="638"/>
        <n v="563"/>
        <n v="639"/>
        <n v="749"/>
        <n v="865"/>
        <n v="791"/>
        <n v="2080"/>
        <n v="1871"/>
        <n v="1851"/>
        <n v="1582"/>
        <n v="1534"/>
        <n v="1217"/>
        <n v="2036"/>
        <n v="1497"/>
        <n v="1649"/>
        <n v="1949"/>
        <n v="1889"/>
        <n v="1417"/>
        <n v="1439"/>
        <n v="1625"/>
        <n v="1402"/>
        <n v="1499"/>
        <n v="2266"/>
        <n v="2011"/>
        <n v="1848"/>
        <n v="1522"/>
        <n v="1530"/>
        <n v="2015"/>
        <n v="2060"/>
        <n v="2451"/>
        <n v="2088"/>
        <n v="17914"/>
        <n v="16191"/>
        <n v="15744"/>
        <n v="16420"/>
        <n v="16525"/>
        <n v="17368"/>
        <n v="14009"/>
        <n v="16459"/>
        <n v="17002"/>
        <n v="16387"/>
        <n v="16373"/>
        <n v="17095"/>
        <n v="15665"/>
        <n v="16450"/>
        <n v="15304"/>
        <n v="15778"/>
        <n v="16376"/>
        <n v="19856"/>
        <n v="15822"/>
        <n v="18042"/>
        <n v="16437"/>
        <n v="20452"/>
        <n v="14582"/>
        <n v="16432"/>
        <n v="22291"/>
        <n v="20771"/>
        <n v="20079"/>
        <n v="20132"/>
        <n v="20495"/>
        <n v="21863"/>
        <n v="16932"/>
        <n v="21153"/>
        <n v="20602"/>
        <n v="21106"/>
        <n v="20911"/>
        <n v="21674"/>
        <n v="18944"/>
        <n v="20914"/>
        <n v="19965"/>
        <n v="17235"/>
        <n v="18861"/>
        <n v="20243"/>
        <n v="20218"/>
        <n v="24574"/>
        <n v="16453"/>
        <n v="20358"/>
        <n v="22368"/>
        <n v="20368"/>
        <n v="24620"/>
        <n v="18014"/>
        <n v="21004"/>
        <n v="5286"/>
        <n v="5094"/>
        <n v="4918"/>
        <n v="5413"/>
        <n v="4508"/>
        <n v="4937"/>
        <n v="3442"/>
        <n v="4770"/>
        <n v="5457"/>
        <n v="4418"/>
        <n v="4816"/>
        <n v="5914"/>
        <n v="4575"/>
        <n v="4923"/>
        <n v="4967"/>
        <n v="21392"/>
        <n v="4751"/>
        <n v="24325"/>
        <n v="4384"/>
        <n v="5651"/>
        <n v="20868"/>
        <n v="4641"/>
        <n v="5143"/>
        <n v="5746"/>
        <n v="4199"/>
        <n v="4826"/>
        <n v="4915"/>
        <n v="2427"/>
        <n v="2245"/>
        <n v="2054"/>
        <n v="1891"/>
        <n v="1804"/>
        <n v="1676"/>
        <n v="1613"/>
        <n v="2418"/>
        <n v="2468"/>
        <n v="1926"/>
        <n v="2335"/>
        <n v="2410"/>
        <n v="1757"/>
        <n v="1846"/>
        <n v="2061"/>
        <n v="5215"/>
        <n v="1716"/>
        <n v="6645"/>
        <n v="1747"/>
        <n v="2460"/>
        <n v="4840"/>
        <n v="2330"/>
        <n v="1756"/>
        <n v="2120"/>
        <n v="1957"/>
        <n v="1879"/>
        <n v="2254"/>
        <n v="2522"/>
        <n v="2793"/>
        <n v="2454"/>
        <n v="1111"/>
        <n v="1012"/>
        <n v="971"/>
        <n v="849"/>
        <n v="750"/>
        <n v="786"/>
        <n v="751"/>
        <n v="1140"/>
        <n v="996"/>
        <n v="845"/>
        <n v="1045"/>
        <n v="1050"/>
        <n v="922"/>
        <n v="780"/>
        <n v="898"/>
        <n v="784"/>
        <n v="839"/>
        <n v="1294"/>
        <n v="1142"/>
        <n v="950"/>
        <n v="879"/>
        <n v="805"/>
        <n v="1128"/>
        <n v="747"/>
        <n v="930"/>
        <n v="623"/>
        <n v="390"/>
        <n v="1599"/>
        <n v="274"/>
        <n v="812"/>
        <n v="294"/>
        <n v="624"/>
        <n v="455"/>
        <n v="1505"/>
        <n v="599"/>
        <n v="1186"/>
        <n v="1697"/>
        <n v="467"/>
        <n v="840"/>
        <n v="1097"/>
        <n v="835"/>
        <n v="262"/>
        <n v="706"/>
        <n v="492"/>
        <n v="480"/>
        <n v="779"/>
        <n v="2039"/>
        <n v="1831"/>
        <n v="1790"/>
        <n v="1479"/>
        <n v="1206"/>
        <n v="1814"/>
        <n v="1987"/>
        <n v="1598"/>
        <n v="1650"/>
        <n v="1823"/>
        <n v="1622"/>
        <n v="1605"/>
        <n v="917"/>
        <n v="1314"/>
        <n v="1048"/>
        <n v="1509"/>
        <n v="2195"/>
        <n v="876"/>
        <n v="1899"/>
        <n v="1662"/>
        <n v="1836"/>
        <n v="1580"/>
        <n v="1868"/>
        <n v="13186"/>
        <n v="12943"/>
        <n v="2056"/>
        <n v="2174"/>
        <n v="1875"/>
        <n v="14049"/>
        <n v="13867"/>
        <n v="11698"/>
        <n v="12016"/>
        <n v="14423"/>
        <n v="12747"/>
        <n v="12429"/>
        <n v="15369"/>
        <n v="15222"/>
        <n v="12000"/>
        <n v="14005"/>
        <n v="13792"/>
        <n v="13469"/>
        <n v="12306"/>
        <n v="12007"/>
        <n v="15277"/>
        <n v="14103"/>
        <n v="17295"/>
        <n v="12983"/>
        <n v="13251"/>
        <n v="14569"/>
        <n v="14098"/>
        <n v="13495"/>
        <n v="12822"/>
        <n v="13170"/>
        <n v="13070"/>
        <n v="11128"/>
        <n v="11288"/>
        <n v="13606"/>
        <n v="11622"/>
        <n v="14482"/>
        <n v="14205"/>
        <n v="11614"/>
        <n v="13240"/>
        <n v="13298"/>
        <n v="12775"/>
        <n v="11522"/>
        <n v="13684"/>
        <n v="14823"/>
        <n v="15030"/>
        <n v="13406"/>
        <n v="16221"/>
        <n v="12854"/>
        <n v="12336"/>
        <n v="12817"/>
        <n v="13832"/>
        <n v="13563"/>
        <n v="12743"/>
        <n v="12211"/>
        <n v="659"/>
        <n v="636"/>
        <n v="13106"/>
        <n v="14590"/>
        <n v="12409"/>
        <n v="920"/>
        <n v="857"/>
        <n v="859"/>
        <n v="654"/>
        <n v="622"/>
        <n v="567"/>
        <n v="577"/>
        <n v="721"/>
        <n v="888"/>
        <n v="890"/>
        <n v="854"/>
        <n v="585"/>
        <n v="701"/>
        <n v="1031"/>
        <n v="989"/>
        <n v="792"/>
        <n v="703"/>
        <n v="676"/>
        <n v="1006"/>
        <n v="914"/>
        <n v="453"/>
        <n v="345"/>
        <n v="532"/>
        <n v="400"/>
        <n v="420"/>
        <n v="2079"/>
        <n v="2046"/>
        <n v="261"/>
        <n v="1597"/>
        <n v="1216"/>
        <n v="1020"/>
        <n v="1834"/>
        <n v="1706"/>
        <n v="2025"/>
        <n v="530"/>
        <n v="2111"/>
        <n v="5330"/>
        <n v="5965"/>
        <n v="5468"/>
        <n v="1029"/>
        <n v="5165"/>
        <n v="4695"/>
        <n v="5184"/>
        <n v="757"/>
        <n v="965"/>
        <n v="719"/>
        <n v="494"/>
        <n v="5751"/>
        <n v="645"/>
        <n v="627"/>
        <n v="743"/>
        <n v="873"/>
        <n v="2306"/>
        <n v="2136"/>
        <n v="2530"/>
        <n v="1858"/>
        <n v="1675"/>
        <n v="1940"/>
        <n v="2249"/>
        <n v="17115"/>
        <n v="17088"/>
        <n v="16285"/>
        <n v="14043"/>
        <n v="16110"/>
        <n v="15804"/>
        <n v="17808"/>
        <n v="21384"/>
        <n v="21427"/>
        <n v="20325"/>
        <n v="18066"/>
        <n v="22403"/>
        <n v="20449"/>
        <n v="20247"/>
        <n v="21862"/>
        <n v="4951"/>
        <n v="4857"/>
        <n v="4722"/>
        <n v="4150"/>
        <n v="25828"/>
        <n v="4885"/>
        <n v="4285"/>
        <n v="4862"/>
        <n v="2430"/>
        <n v="2861"/>
        <n v="2531"/>
        <n v="1916"/>
        <n v="5672"/>
        <n v="1993"/>
        <n v="2255"/>
        <n v="1203"/>
        <n v="1268"/>
        <n v="1185"/>
        <n v="925"/>
        <n v="980"/>
        <n v="809"/>
        <n v="903"/>
        <n v="1019"/>
        <n v="684"/>
        <n v="1296"/>
        <n v="729"/>
        <n v="688"/>
        <n v="1873"/>
        <n v="1859"/>
        <n v="1527"/>
        <n v="981"/>
        <n v="1741"/>
        <n v="1635"/>
        <n v="1780"/>
        <n v="2064"/>
        <n v="13942"/>
        <n v="14050"/>
        <n v="12299"/>
        <n v="11100"/>
        <n v="12460"/>
        <n v="11935"/>
        <n v="13544"/>
        <n v="13091"/>
        <n v="13014"/>
        <n v="11864"/>
        <n v="10570"/>
        <n v="14507"/>
        <n v="12012"/>
        <n v="11194"/>
        <n v="12791"/>
        <n v="14031"/>
        <n v="409"/>
        <n v="985"/>
        <n v="864"/>
        <n v="834"/>
        <n v="817"/>
        <n v="962"/>
        <n v="237"/>
        <n v="491"/>
        <n v="500"/>
        <n v="1014"/>
        <n v="923"/>
      </sharedItems>
    </cacheField>
    <cacheField name="Количество клиентов" numFmtId="0">
      <sharedItems containsSemiMixedTypes="0" containsString="0" containsNumber="1" containsInteger="1" minValue="175" maxValue="23974" count="482">
        <n v="368"/>
        <n v="409"/>
        <n v="390"/>
        <n v="1947"/>
        <n v="1704"/>
        <n v="1705"/>
        <n v="1568"/>
        <n v="1372"/>
        <n v="1528"/>
        <n v="1534"/>
        <n v="1863"/>
        <n v="1633"/>
        <n v="1516"/>
        <n v="1626"/>
        <n v="1767"/>
        <n v="1604"/>
        <n v="1404"/>
        <n v="1554"/>
        <n v="1373"/>
        <n v="1632"/>
        <n v="2146"/>
        <n v="1914"/>
        <n v="1552"/>
        <n v="1846"/>
        <n v="1492"/>
        <n v="1405"/>
        <n v="1829"/>
        <n v="2085"/>
        <n v="2376"/>
        <n v="1736"/>
        <n v="5177"/>
        <n v="5024"/>
        <n v="4843"/>
        <n v="4220"/>
        <n v="4596"/>
        <n v="4985"/>
        <n v="3823"/>
        <n v="5119"/>
        <n v="5564"/>
        <n v="4470"/>
        <n v="4868"/>
        <n v="5258"/>
        <n v="4800"/>
        <n v="5096"/>
        <n v="4853"/>
        <n v="4762"/>
        <n v="4348"/>
        <n v="5801"/>
        <n v="4841"/>
        <n v="4737"/>
        <n v="5093"/>
        <n v="4266"/>
        <n v="4527"/>
        <n v="4683"/>
        <n v="672"/>
        <n v="568"/>
        <n v="513"/>
        <n v="559"/>
        <n v="396"/>
        <n v="433"/>
        <n v="341"/>
        <n v="601"/>
        <n v="472"/>
        <n v="448"/>
        <n v="591"/>
        <n v="654"/>
        <n v="437"/>
        <n v="506"/>
        <n v="530"/>
        <n v="5367"/>
        <n v="333"/>
        <n v="6264"/>
        <n v="734"/>
        <n v="4969"/>
        <n v="642"/>
        <n v="376"/>
        <n v="556"/>
        <n v="547"/>
        <n v="486"/>
        <n v="557"/>
        <n v="655"/>
        <n v="763"/>
        <n v="697"/>
        <n v="1844"/>
        <n v="1799"/>
        <n v="1660"/>
        <n v="1635"/>
        <n v="1403"/>
        <n v="1369"/>
        <n v="1048"/>
        <n v="1790"/>
        <n v="1291"/>
        <n v="1460"/>
        <n v="1724"/>
        <n v="1690"/>
        <n v="1245"/>
        <n v="1265"/>
        <n v="1444"/>
        <n v="1234"/>
        <n v="1323"/>
        <n v="1993"/>
        <n v="1791"/>
        <n v="1322"/>
        <n v="1649"/>
        <n v="1340"/>
        <n v="1338"/>
        <n v="1803"/>
        <n v="1826"/>
        <n v="2178"/>
        <n v="1848"/>
        <n v="16631"/>
        <n v="15102"/>
        <n v="14685"/>
        <n v="15169"/>
        <n v="15310"/>
        <n v="16077"/>
        <n v="12920"/>
        <n v="15355"/>
        <n v="15570"/>
        <n v="15322"/>
        <n v="15223"/>
        <n v="15919"/>
        <n v="14501"/>
        <n v="15320"/>
        <n v="14315"/>
        <n v="14624"/>
        <n v="15197"/>
        <n v="18325"/>
        <n v="14753"/>
        <n v="15285"/>
        <n v="18857"/>
        <n v="13512"/>
        <n v="15345"/>
        <n v="20635"/>
        <n v="19338"/>
        <n v="18721"/>
        <n v="18617"/>
        <n v="18964"/>
        <n v="20160"/>
        <n v="15601"/>
        <n v="19673"/>
        <n v="18845"/>
        <n v="19651"/>
        <n v="19358"/>
        <n v="20155"/>
        <n v="17541"/>
        <n v="19479"/>
        <n v="18573"/>
        <n v="16052"/>
        <n v="17420"/>
        <n v="18711"/>
        <n v="18647"/>
        <n v="22609"/>
        <n v="15289"/>
        <n v="18890"/>
        <n v="20625"/>
        <n v="18884"/>
        <n v="22641"/>
        <n v="16675"/>
        <n v="19556"/>
        <n v="4867"/>
        <n v="4716"/>
        <n v="4554"/>
        <n v="4959"/>
        <n v="4149"/>
        <n v="4561"/>
        <n v="3147"/>
        <n v="4424"/>
        <n v="4916"/>
        <n v="4088"/>
        <n v="4452"/>
        <n v="5384"/>
        <n v="4206"/>
        <n v="4560"/>
        <n v="4583"/>
        <n v="19869"/>
        <n v="4370"/>
        <n v="22469"/>
        <n v="4025"/>
        <n v="5212"/>
        <n v="19342"/>
        <n v="4274"/>
        <n v="4715"/>
        <n v="5277"/>
        <n v="3867"/>
        <n v="4426"/>
        <n v="4562"/>
        <n v="2213"/>
        <n v="2053"/>
        <n v="1883"/>
        <n v="1709"/>
        <n v="1638"/>
        <n v="1457"/>
        <n v="2215"/>
        <n v="2221"/>
        <n v="1745"/>
        <n v="2126"/>
        <n v="2202"/>
        <n v="1596"/>
        <n v="1681"/>
        <n v="1876"/>
        <n v="4848"/>
        <n v="1561"/>
        <n v="6122"/>
        <n v="1570"/>
        <n v="2226"/>
        <n v="4475"/>
        <n v="2142"/>
        <n v="1586"/>
        <n v="1921"/>
        <n v="1755"/>
        <n v="1695"/>
        <n v="2061"/>
        <n v="2295"/>
        <n v="2539"/>
        <n v="2239"/>
        <n v="992"/>
        <n v="900"/>
        <n v="856"/>
        <n v="740"/>
        <n v="647"/>
        <n v="695"/>
        <n v="651"/>
        <n v="1016"/>
        <n v="888"/>
        <n v="743"/>
        <n v="930"/>
        <n v="938"/>
        <n v="823"/>
        <n v="690"/>
        <n v="795"/>
        <n v="696"/>
        <n v="733"/>
        <n v="1155"/>
        <n v="1020"/>
        <n v="691"/>
        <n v="848"/>
        <n v="768"/>
        <n v="703"/>
        <n v="1001"/>
        <n v="827"/>
        <n v="535"/>
        <n v="315"/>
        <n v="1450"/>
        <n v="203"/>
        <n v="711"/>
        <n v="225"/>
        <n v="538"/>
        <n v="652"/>
        <n v="664"/>
        <n v="381"/>
        <n v="1368"/>
        <n v="515"/>
        <n v="1054"/>
        <n v="384"/>
        <n v="1499"/>
        <n v="389"/>
        <n v="725"/>
        <n v="968"/>
        <n v="736"/>
        <n v="195"/>
        <n v="608"/>
        <n v="412"/>
        <n v="398"/>
        <n v="673"/>
        <n v="1868"/>
        <n v="1667"/>
        <n v="1412"/>
        <n v="1346"/>
        <n v="1080"/>
        <n v="1655"/>
        <n v="1454"/>
        <n v="1505"/>
        <n v="1678"/>
        <n v="1482"/>
        <n v="1447"/>
        <n v="802"/>
        <n v="1192"/>
        <n v="918"/>
        <n v="1374"/>
        <n v="1999"/>
        <n v="762"/>
        <n v="1738"/>
        <n v="1506"/>
        <n v="1680"/>
        <n v="1380"/>
        <n v="1435"/>
        <n v="1706"/>
        <n v="12251"/>
        <n v="12072"/>
        <n v="1879"/>
        <n v="1957"/>
        <n v="1701"/>
        <n v="13118"/>
        <n v="12987"/>
        <n v="10989"/>
        <n v="11137"/>
        <n v="13432"/>
        <n v="11884"/>
        <n v="11477"/>
        <n v="14299"/>
        <n v="13873"/>
        <n v="11194"/>
        <n v="13002"/>
        <n v="12834"/>
        <n v="12486"/>
        <n v="11532"/>
        <n v="11245"/>
        <n v="14163"/>
        <n v="16010"/>
        <n v="12056"/>
        <n v="12255"/>
        <n v="13566"/>
        <n v="13106"/>
        <n v="12517"/>
        <n v="11916"/>
        <n v="12299"/>
        <n v="12244"/>
        <n v="10467"/>
        <n v="10492"/>
        <n v="12697"/>
        <n v="10754"/>
        <n v="13510"/>
        <n v="13026"/>
        <n v="10862"/>
        <n v="12360"/>
        <n v="12428"/>
        <n v="11887"/>
        <n v="10803"/>
        <n v="12690"/>
        <n v="13751"/>
        <n v="13956"/>
        <n v="12518"/>
        <n v="15065"/>
        <n v="11954"/>
        <n v="11519"/>
        <n v="11865"/>
        <n v="12864"/>
        <n v="12604"/>
        <n v="11858"/>
        <n v="11427"/>
        <n v="575"/>
        <n v="12164"/>
        <n v="13551"/>
        <n v="11582"/>
        <n v="818"/>
        <n v="757"/>
        <n v="746"/>
        <n v="570"/>
        <n v="493"/>
        <n v="625"/>
        <n v="659"/>
        <n v="786"/>
        <n v="794"/>
        <n v="658"/>
        <n v="756"/>
        <n v="502"/>
        <n v="611"/>
        <n v="887"/>
        <n v="550"/>
        <n v="609"/>
        <n v="904"/>
        <n v="804"/>
        <n v="370"/>
        <n v="255"/>
        <n v="449"/>
        <n v="329"/>
        <n v="347"/>
        <n v="1893"/>
        <n v="1853"/>
        <n v="188"/>
        <n v="1101"/>
        <n v="911"/>
        <n v="1548"/>
        <n v="1742"/>
        <n v="1849"/>
        <n v="447"/>
        <n v="1917"/>
        <n v="4977"/>
        <n v="5533"/>
        <n v="5081"/>
        <n v="925"/>
        <n v="4483"/>
        <n v="4813"/>
        <n v="4372"/>
        <n v="4778"/>
        <n v="660"/>
        <n v="861"/>
        <n v="627"/>
        <n v="421"/>
        <n v="5319"/>
        <n v="565"/>
        <n v="545"/>
        <n v="770"/>
        <n v="1856"/>
        <n v="2054"/>
        <n v="1899"/>
        <n v="2270"/>
        <n v="1648"/>
        <n v="1475"/>
        <n v="1715"/>
        <n v="2000"/>
        <n v="15962"/>
        <n v="15804"/>
        <n v="15130"/>
        <n v="13167"/>
        <n v="14992"/>
        <n v="14738"/>
        <n v="16486"/>
        <n v="19897"/>
        <n v="19799"/>
        <n v="18935"/>
        <n v="16883"/>
        <n v="20676"/>
        <n v="19060"/>
        <n v="18812"/>
        <n v="20235"/>
        <n v="4584"/>
        <n v="4456"/>
        <n v="4352"/>
        <n v="3838"/>
        <n v="23974"/>
        <n v="4502"/>
        <n v="3950"/>
        <n v="4476"/>
        <n v="2216"/>
        <n v="2612"/>
        <n v="2296"/>
        <n v="1733"/>
        <n v="5198"/>
        <n v="1796"/>
        <n v="2045"/>
        <n v="2379"/>
        <n v="1077"/>
        <n v="1129"/>
        <n v="1042"/>
        <n v="714"/>
        <n v="816"/>
        <n v="777"/>
        <n v="867"/>
        <n v="702"/>
        <n v="792"/>
        <n v="895"/>
        <n v="585"/>
        <n v="1153"/>
        <n v="636"/>
        <n v="548"/>
        <n v="598"/>
        <n v="1697"/>
        <n v="1720"/>
        <n v="1389"/>
        <n v="859"/>
        <n v="1597"/>
        <n v="1487"/>
        <n v="1615"/>
        <n v="1896"/>
        <n v="12986"/>
        <n v="13027"/>
        <n v="11448"/>
        <n v="10407"/>
        <n v="11665"/>
        <n v="11178"/>
        <n v="12643"/>
        <n v="12216"/>
        <n v="12095"/>
        <n v="11071"/>
        <n v="9926"/>
        <n v="13386"/>
        <n v="11308"/>
        <n v="10554"/>
        <n v="11950"/>
        <n v="12943"/>
        <n v="224"/>
        <n v="564"/>
        <n v="765"/>
        <n v="735"/>
        <n v="718"/>
        <n v="175"/>
        <n v="411"/>
        <n v="418"/>
        <n v="893"/>
        <n v="824"/>
      </sharedItems>
    </cacheField>
    <cacheField name="Товарооборот на склад" numFmtId="0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  <cacheField name="Дни (Дата)" numFmtId="0" databaseField="0">
      <fieldGroup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Месяцы (Дата)" numFmtId="0" databaseField="0">
      <fieldGroup base="0">
        <rangePr groupBy="months" startDate="2020-04-28T00:00:00" endDate="2020-06-02T00:00:00"/>
        <groupItems count="14">
          <s v="&lt;28.04.2020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x v="0"/>
    <x v="0"/>
    <x v="0"/>
    <x v="0"/>
    <x v="0"/>
    <x v="0"/>
    <x v="0"/>
  </r>
  <r>
    <x v="1"/>
    <x v="0"/>
    <x v="1"/>
    <x v="1"/>
    <x v="0"/>
    <x v="1"/>
    <x v="1"/>
    <x v="1"/>
    <x v="0"/>
  </r>
  <r>
    <x v="2"/>
    <x v="0"/>
    <x v="2"/>
    <x v="2"/>
    <x v="0"/>
    <x v="2"/>
    <x v="2"/>
    <x v="2"/>
    <x v="0"/>
  </r>
  <r>
    <x v="3"/>
    <x v="1"/>
    <x v="3"/>
    <x v="3"/>
    <x v="1"/>
    <x v="3"/>
    <x v="3"/>
    <x v="3"/>
    <x v="1"/>
  </r>
  <r>
    <x v="4"/>
    <x v="1"/>
    <x v="4"/>
    <x v="4"/>
    <x v="1"/>
    <x v="4"/>
    <x v="4"/>
    <x v="4"/>
    <x v="2"/>
  </r>
  <r>
    <x v="5"/>
    <x v="1"/>
    <x v="5"/>
    <x v="5"/>
    <x v="1"/>
    <x v="5"/>
    <x v="5"/>
    <x v="5"/>
    <x v="1"/>
  </r>
  <r>
    <x v="6"/>
    <x v="1"/>
    <x v="6"/>
    <x v="6"/>
    <x v="1"/>
    <x v="6"/>
    <x v="6"/>
    <x v="6"/>
    <x v="3"/>
  </r>
  <r>
    <x v="7"/>
    <x v="1"/>
    <x v="7"/>
    <x v="7"/>
    <x v="2"/>
    <x v="7"/>
    <x v="7"/>
    <x v="7"/>
    <x v="3"/>
  </r>
  <r>
    <x v="8"/>
    <x v="1"/>
    <x v="8"/>
    <x v="8"/>
    <x v="3"/>
    <x v="8"/>
    <x v="8"/>
    <x v="8"/>
    <x v="4"/>
  </r>
  <r>
    <x v="9"/>
    <x v="1"/>
    <x v="9"/>
    <x v="9"/>
    <x v="3"/>
    <x v="9"/>
    <x v="9"/>
    <x v="9"/>
    <x v="4"/>
  </r>
  <r>
    <x v="10"/>
    <x v="1"/>
    <x v="10"/>
    <x v="10"/>
    <x v="2"/>
    <x v="10"/>
    <x v="10"/>
    <x v="10"/>
    <x v="0"/>
  </r>
  <r>
    <x v="11"/>
    <x v="1"/>
    <x v="11"/>
    <x v="11"/>
    <x v="3"/>
    <x v="11"/>
    <x v="11"/>
    <x v="11"/>
    <x v="4"/>
  </r>
  <r>
    <x v="12"/>
    <x v="1"/>
    <x v="12"/>
    <x v="12"/>
    <x v="1"/>
    <x v="12"/>
    <x v="12"/>
    <x v="12"/>
    <x v="1"/>
  </r>
  <r>
    <x v="13"/>
    <x v="1"/>
    <x v="13"/>
    <x v="13"/>
    <x v="1"/>
    <x v="13"/>
    <x v="13"/>
    <x v="13"/>
    <x v="2"/>
  </r>
  <r>
    <x v="14"/>
    <x v="1"/>
    <x v="14"/>
    <x v="14"/>
    <x v="1"/>
    <x v="14"/>
    <x v="14"/>
    <x v="14"/>
    <x v="2"/>
  </r>
  <r>
    <x v="15"/>
    <x v="1"/>
    <x v="15"/>
    <x v="15"/>
    <x v="2"/>
    <x v="15"/>
    <x v="15"/>
    <x v="15"/>
    <x v="3"/>
  </r>
  <r>
    <x v="16"/>
    <x v="1"/>
    <x v="16"/>
    <x v="16"/>
    <x v="3"/>
    <x v="16"/>
    <x v="16"/>
    <x v="16"/>
    <x v="4"/>
  </r>
  <r>
    <x v="17"/>
    <x v="1"/>
    <x v="17"/>
    <x v="17"/>
    <x v="1"/>
    <x v="17"/>
    <x v="17"/>
    <x v="17"/>
    <x v="1"/>
  </r>
  <r>
    <x v="18"/>
    <x v="1"/>
    <x v="18"/>
    <x v="18"/>
    <x v="2"/>
    <x v="18"/>
    <x v="18"/>
    <x v="18"/>
    <x v="4"/>
  </r>
  <r>
    <x v="19"/>
    <x v="1"/>
    <x v="19"/>
    <x v="19"/>
    <x v="2"/>
    <x v="19"/>
    <x v="19"/>
    <x v="19"/>
    <x v="3"/>
  </r>
  <r>
    <x v="20"/>
    <x v="1"/>
    <x v="20"/>
    <x v="20"/>
    <x v="1"/>
    <x v="20"/>
    <x v="20"/>
    <x v="20"/>
    <x v="2"/>
  </r>
  <r>
    <x v="21"/>
    <x v="1"/>
    <x v="21"/>
    <x v="21"/>
    <x v="2"/>
    <x v="21"/>
    <x v="21"/>
    <x v="21"/>
    <x v="0"/>
  </r>
  <r>
    <x v="22"/>
    <x v="1"/>
    <x v="22"/>
    <x v="22"/>
    <x v="4"/>
    <x v="22"/>
    <x v="22"/>
    <x v="22"/>
    <x v="4"/>
  </r>
  <r>
    <x v="23"/>
    <x v="1"/>
    <x v="23"/>
    <x v="23"/>
    <x v="1"/>
    <x v="23"/>
    <x v="23"/>
    <x v="23"/>
    <x v="3"/>
  </r>
  <r>
    <x v="24"/>
    <x v="1"/>
    <x v="24"/>
    <x v="24"/>
    <x v="1"/>
    <x v="24"/>
    <x v="24"/>
    <x v="24"/>
    <x v="3"/>
  </r>
  <r>
    <x v="25"/>
    <x v="1"/>
    <x v="25"/>
    <x v="25"/>
    <x v="1"/>
    <x v="25"/>
    <x v="25"/>
    <x v="25"/>
    <x v="3"/>
  </r>
  <r>
    <x v="26"/>
    <x v="1"/>
    <x v="26"/>
    <x v="26"/>
    <x v="2"/>
    <x v="26"/>
    <x v="26"/>
    <x v="26"/>
    <x v="2"/>
  </r>
  <r>
    <x v="0"/>
    <x v="1"/>
    <x v="27"/>
    <x v="27"/>
    <x v="1"/>
    <x v="27"/>
    <x v="27"/>
    <x v="27"/>
    <x v="0"/>
  </r>
  <r>
    <x v="1"/>
    <x v="1"/>
    <x v="28"/>
    <x v="28"/>
    <x v="2"/>
    <x v="28"/>
    <x v="28"/>
    <x v="28"/>
    <x v="0"/>
  </r>
  <r>
    <x v="2"/>
    <x v="1"/>
    <x v="29"/>
    <x v="29"/>
    <x v="2"/>
    <x v="29"/>
    <x v="29"/>
    <x v="29"/>
    <x v="0"/>
  </r>
  <r>
    <x v="3"/>
    <x v="2"/>
    <x v="30"/>
    <x v="30"/>
    <x v="5"/>
    <x v="30"/>
    <x v="30"/>
    <x v="30"/>
    <x v="1"/>
  </r>
  <r>
    <x v="4"/>
    <x v="2"/>
    <x v="31"/>
    <x v="31"/>
    <x v="5"/>
    <x v="31"/>
    <x v="31"/>
    <x v="31"/>
    <x v="2"/>
  </r>
  <r>
    <x v="5"/>
    <x v="2"/>
    <x v="32"/>
    <x v="32"/>
    <x v="5"/>
    <x v="32"/>
    <x v="32"/>
    <x v="32"/>
    <x v="1"/>
  </r>
  <r>
    <x v="6"/>
    <x v="2"/>
    <x v="33"/>
    <x v="33"/>
    <x v="5"/>
    <x v="33"/>
    <x v="33"/>
    <x v="33"/>
    <x v="3"/>
  </r>
  <r>
    <x v="7"/>
    <x v="2"/>
    <x v="34"/>
    <x v="34"/>
    <x v="5"/>
    <x v="34"/>
    <x v="34"/>
    <x v="34"/>
    <x v="3"/>
  </r>
  <r>
    <x v="8"/>
    <x v="2"/>
    <x v="35"/>
    <x v="35"/>
    <x v="5"/>
    <x v="35"/>
    <x v="35"/>
    <x v="35"/>
    <x v="4"/>
  </r>
  <r>
    <x v="9"/>
    <x v="2"/>
    <x v="36"/>
    <x v="36"/>
    <x v="5"/>
    <x v="36"/>
    <x v="36"/>
    <x v="36"/>
    <x v="4"/>
  </r>
  <r>
    <x v="10"/>
    <x v="2"/>
    <x v="37"/>
    <x v="37"/>
    <x v="5"/>
    <x v="37"/>
    <x v="37"/>
    <x v="37"/>
    <x v="0"/>
  </r>
  <r>
    <x v="11"/>
    <x v="2"/>
    <x v="38"/>
    <x v="38"/>
    <x v="5"/>
    <x v="38"/>
    <x v="38"/>
    <x v="38"/>
    <x v="4"/>
  </r>
  <r>
    <x v="12"/>
    <x v="2"/>
    <x v="39"/>
    <x v="39"/>
    <x v="5"/>
    <x v="39"/>
    <x v="39"/>
    <x v="39"/>
    <x v="1"/>
  </r>
  <r>
    <x v="13"/>
    <x v="2"/>
    <x v="40"/>
    <x v="40"/>
    <x v="5"/>
    <x v="40"/>
    <x v="40"/>
    <x v="40"/>
    <x v="2"/>
  </r>
  <r>
    <x v="14"/>
    <x v="2"/>
    <x v="41"/>
    <x v="41"/>
    <x v="5"/>
    <x v="41"/>
    <x v="41"/>
    <x v="41"/>
    <x v="2"/>
  </r>
  <r>
    <x v="15"/>
    <x v="2"/>
    <x v="42"/>
    <x v="42"/>
    <x v="5"/>
    <x v="42"/>
    <x v="42"/>
    <x v="42"/>
    <x v="3"/>
  </r>
  <r>
    <x v="16"/>
    <x v="2"/>
    <x v="43"/>
    <x v="43"/>
    <x v="5"/>
    <x v="43"/>
    <x v="43"/>
    <x v="43"/>
    <x v="4"/>
  </r>
  <r>
    <x v="17"/>
    <x v="2"/>
    <x v="44"/>
    <x v="44"/>
    <x v="5"/>
    <x v="44"/>
    <x v="44"/>
    <x v="44"/>
    <x v="1"/>
  </r>
  <r>
    <x v="18"/>
    <x v="2"/>
    <x v="45"/>
    <x v="45"/>
    <x v="5"/>
    <x v="45"/>
    <x v="45"/>
    <x v="45"/>
    <x v="4"/>
  </r>
  <r>
    <x v="19"/>
    <x v="2"/>
    <x v="46"/>
    <x v="46"/>
    <x v="5"/>
    <x v="46"/>
    <x v="46"/>
    <x v="46"/>
    <x v="3"/>
  </r>
  <r>
    <x v="20"/>
    <x v="2"/>
    <x v="47"/>
    <x v="47"/>
    <x v="5"/>
    <x v="47"/>
    <x v="47"/>
    <x v="47"/>
    <x v="2"/>
  </r>
  <r>
    <x v="21"/>
    <x v="2"/>
    <x v="48"/>
    <x v="48"/>
    <x v="5"/>
    <x v="48"/>
    <x v="48"/>
    <x v="48"/>
    <x v="0"/>
  </r>
  <r>
    <x v="22"/>
    <x v="2"/>
    <x v="49"/>
    <x v="49"/>
    <x v="5"/>
    <x v="49"/>
    <x v="49"/>
    <x v="49"/>
    <x v="4"/>
  </r>
  <r>
    <x v="23"/>
    <x v="2"/>
    <x v="50"/>
    <x v="50"/>
    <x v="5"/>
    <x v="50"/>
    <x v="50"/>
    <x v="50"/>
    <x v="3"/>
  </r>
  <r>
    <x v="24"/>
    <x v="2"/>
    <x v="51"/>
    <x v="51"/>
    <x v="5"/>
    <x v="51"/>
    <x v="51"/>
    <x v="51"/>
    <x v="3"/>
  </r>
  <r>
    <x v="25"/>
    <x v="2"/>
    <x v="52"/>
    <x v="52"/>
    <x v="5"/>
    <x v="52"/>
    <x v="52"/>
    <x v="52"/>
    <x v="3"/>
  </r>
  <r>
    <x v="26"/>
    <x v="2"/>
    <x v="53"/>
    <x v="53"/>
    <x v="5"/>
    <x v="53"/>
    <x v="53"/>
    <x v="53"/>
    <x v="2"/>
  </r>
  <r>
    <x v="3"/>
    <x v="3"/>
    <x v="54"/>
    <x v="54"/>
    <x v="6"/>
    <x v="54"/>
    <x v="54"/>
    <x v="54"/>
    <x v="1"/>
  </r>
  <r>
    <x v="4"/>
    <x v="3"/>
    <x v="55"/>
    <x v="55"/>
    <x v="6"/>
    <x v="55"/>
    <x v="55"/>
    <x v="55"/>
    <x v="2"/>
  </r>
  <r>
    <x v="5"/>
    <x v="3"/>
    <x v="56"/>
    <x v="56"/>
    <x v="6"/>
    <x v="56"/>
    <x v="56"/>
    <x v="56"/>
    <x v="1"/>
  </r>
  <r>
    <x v="6"/>
    <x v="3"/>
    <x v="57"/>
    <x v="57"/>
    <x v="6"/>
    <x v="57"/>
    <x v="57"/>
    <x v="57"/>
    <x v="3"/>
  </r>
  <r>
    <x v="7"/>
    <x v="3"/>
    <x v="58"/>
    <x v="58"/>
    <x v="6"/>
    <x v="58"/>
    <x v="58"/>
    <x v="58"/>
    <x v="3"/>
  </r>
  <r>
    <x v="8"/>
    <x v="3"/>
    <x v="59"/>
    <x v="59"/>
    <x v="6"/>
    <x v="59"/>
    <x v="59"/>
    <x v="59"/>
    <x v="4"/>
  </r>
  <r>
    <x v="9"/>
    <x v="3"/>
    <x v="60"/>
    <x v="60"/>
    <x v="6"/>
    <x v="60"/>
    <x v="60"/>
    <x v="60"/>
    <x v="4"/>
  </r>
  <r>
    <x v="10"/>
    <x v="3"/>
    <x v="61"/>
    <x v="61"/>
    <x v="6"/>
    <x v="61"/>
    <x v="61"/>
    <x v="61"/>
    <x v="0"/>
  </r>
  <r>
    <x v="11"/>
    <x v="3"/>
    <x v="62"/>
    <x v="62"/>
    <x v="6"/>
    <x v="62"/>
    <x v="62"/>
    <x v="62"/>
    <x v="4"/>
  </r>
  <r>
    <x v="12"/>
    <x v="3"/>
    <x v="63"/>
    <x v="63"/>
    <x v="6"/>
    <x v="63"/>
    <x v="63"/>
    <x v="63"/>
    <x v="1"/>
  </r>
  <r>
    <x v="13"/>
    <x v="3"/>
    <x v="64"/>
    <x v="64"/>
    <x v="6"/>
    <x v="64"/>
    <x v="64"/>
    <x v="64"/>
    <x v="2"/>
  </r>
  <r>
    <x v="14"/>
    <x v="3"/>
    <x v="65"/>
    <x v="65"/>
    <x v="6"/>
    <x v="65"/>
    <x v="65"/>
    <x v="65"/>
    <x v="2"/>
  </r>
  <r>
    <x v="15"/>
    <x v="3"/>
    <x v="66"/>
    <x v="66"/>
    <x v="6"/>
    <x v="66"/>
    <x v="66"/>
    <x v="66"/>
    <x v="3"/>
  </r>
  <r>
    <x v="16"/>
    <x v="3"/>
    <x v="67"/>
    <x v="67"/>
    <x v="6"/>
    <x v="67"/>
    <x v="67"/>
    <x v="67"/>
    <x v="4"/>
  </r>
  <r>
    <x v="17"/>
    <x v="3"/>
    <x v="68"/>
    <x v="68"/>
    <x v="6"/>
    <x v="68"/>
    <x v="68"/>
    <x v="68"/>
    <x v="1"/>
  </r>
  <r>
    <x v="0"/>
    <x v="2"/>
    <x v="69"/>
    <x v="69"/>
    <x v="5"/>
    <x v="69"/>
    <x v="69"/>
    <x v="69"/>
    <x v="0"/>
  </r>
  <r>
    <x v="18"/>
    <x v="3"/>
    <x v="70"/>
    <x v="70"/>
    <x v="6"/>
    <x v="70"/>
    <x v="70"/>
    <x v="70"/>
    <x v="4"/>
  </r>
  <r>
    <x v="1"/>
    <x v="2"/>
    <x v="71"/>
    <x v="71"/>
    <x v="5"/>
    <x v="71"/>
    <x v="71"/>
    <x v="71"/>
    <x v="0"/>
  </r>
  <r>
    <x v="19"/>
    <x v="3"/>
    <x v="72"/>
    <x v="72"/>
    <x v="6"/>
    <x v="72"/>
    <x v="2"/>
    <x v="72"/>
    <x v="3"/>
  </r>
  <r>
    <x v="20"/>
    <x v="3"/>
    <x v="73"/>
    <x v="73"/>
    <x v="6"/>
    <x v="73"/>
    <x v="72"/>
    <x v="73"/>
    <x v="2"/>
  </r>
  <r>
    <x v="2"/>
    <x v="2"/>
    <x v="74"/>
    <x v="74"/>
    <x v="5"/>
    <x v="74"/>
    <x v="73"/>
    <x v="74"/>
    <x v="0"/>
  </r>
  <r>
    <x v="21"/>
    <x v="3"/>
    <x v="75"/>
    <x v="75"/>
    <x v="6"/>
    <x v="75"/>
    <x v="74"/>
    <x v="75"/>
    <x v="0"/>
  </r>
  <r>
    <x v="22"/>
    <x v="3"/>
    <x v="76"/>
    <x v="76"/>
    <x v="6"/>
    <x v="76"/>
    <x v="75"/>
    <x v="76"/>
    <x v="4"/>
  </r>
  <r>
    <x v="23"/>
    <x v="3"/>
    <x v="77"/>
    <x v="77"/>
    <x v="6"/>
    <x v="77"/>
    <x v="76"/>
    <x v="77"/>
    <x v="3"/>
  </r>
  <r>
    <x v="24"/>
    <x v="3"/>
    <x v="78"/>
    <x v="78"/>
    <x v="6"/>
    <x v="78"/>
    <x v="77"/>
    <x v="78"/>
    <x v="3"/>
  </r>
  <r>
    <x v="25"/>
    <x v="3"/>
    <x v="79"/>
    <x v="79"/>
    <x v="6"/>
    <x v="79"/>
    <x v="78"/>
    <x v="79"/>
    <x v="3"/>
  </r>
  <r>
    <x v="26"/>
    <x v="3"/>
    <x v="80"/>
    <x v="80"/>
    <x v="6"/>
    <x v="80"/>
    <x v="79"/>
    <x v="80"/>
    <x v="2"/>
  </r>
  <r>
    <x v="0"/>
    <x v="3"/>
    <x v="81"/>
    <x v="81"/>
    <x v="6"/>
    <x v="81"/>
    <x v="80"/>
    <x v="81"/>
    <x v="0"/>
  </r>
  <r>
    <x v="1"/>
    <x v="3"/>
    <x v="82"/>
    <x v="82"/>
    <x v="6"/>
    <x v="82"/>
    <x v="81"/>
    <x v="82"/>
    <x v="0"/>
  </r>
  <r>
    <x v="2"/>
    <x v="3"/>
    <x v="83"/>
    <x v="83"/>
    <x v="6"/>
    <x v="83"/>
    <x v="82"/>
    <x v="83"/>
    <x v="0"/>
  </r>
  <r>
    <x v="3"/>
    <x v="4"/>
    <x v="84"/>
    <x v="84"/>
    <x v="4"/>
    <x v="84"/>
    <x v="83"/>
    <x v="84"/>
    <x v="1"/>
  </r>
  <r>
    <x v="4"/>
    <x v="4"/>
    <x v="85"/>
    <x v="85"/>
    <x v="4"/>
    <x v="26"/>
    <x v="84"/>
    <x v="85"/>
    <x v="2"/>
  </r>
  <r>
    <x v="5"/>
    <x v="4"/>
    <x v="86"/>
    <x v="86"/>
    <x v="4"/>
    <x v="85"/>
    <x v="85"/>
    <x v="86"/>
    <x v="1"/>
  </r>
  <r>
    <x v="6"/>
    <x v="4"/>
    <x v="87"/>
    <x v="87"/>
    <x v="4"/>
    <x v="86"/>
    <x v="86"/>
    <x v="87"/>
    <x v="3"/>
  </r>
  <r>
    <x v="7"/>
    <x v="4"/>
    <x v="88"/>
    <x v="88"/>
    <x v="4"/>
    <x v="87"/>
    <x v="87"/>
    <x v="88"/>
    <x v="3"/>
  </r>
  <r>
    <x v="8"/>
    <x v="4"/>
    <x v="89"/>
    <x v="89"/>
    <x v="3"/>
    <x v="88"/>
    <x v="88"/>
    <x v="89"/>
    <x v="4"/>
  </r>
  <r>
    <x v="9"/>
    <x v="4"/>
    <x v="90"/>
    <x v="90"/>
    <x v="4"/>
    <x v="89"/>
    <x v="89"/>
    <x v="90"/>
    <x v="4"/>
  </r>
  <r>
    <x v="10"/>
    <x v="4"/>
    <x v="91"/>
    <x v="91"/>
    <x v="2"/>
    <x v="90"/>
    <x v="90"/>
    <x v="91"/>
    <x v="0"/>
  </r>
  <r>
    <x v="11"/>
    <x v="4"/>
    <x v="92"/>
    <x v="92"/>
    <x v="4"/>
    <x v="91"/>
    <x v="91"/>
    <x v="92"/>
    <x v="4"/>
  </r>
  <r>
    <x v="12"/>
    <x v="4"/>
    <x v="93"/>
    <x v="93"/>
    <x v="4"/>
    <x v="92"/>
    <x v="92"/>
    <x v="93"/>
    <x v="1"/>
  </r>
  <r>
    <x v="13"/>
    <x v="4"/>
    <x v="94"/>
    <x v="94"/>
    <x v="4"/>
    <x v="93"/>
    <x v="93"/>
    <x v="94"/>
    <x v="2"/>
  </r>
  <r>
    <x v="14"/>
    <x v="4"/>
    <x v="95"/>
    <x v="95"/>
    <x v="4"/>
    <x v="94"/>
    <x v="94"/>
    <x v="95"/>
    <x v="2"/>
  </r>
  <r>
    <x v="15"/>
    <x v="4"/>
    <x v="96"/>
    <x v="96"/>
    <x v="4"/>
    <x v="95"/>
    <x v="95"/>
    <x v="96"/>
    <x v="3"/>
  </r>
  <r>
    <x v="16"/>
    <x v="4"/>
    <x v="97"/>
    <x v="97"/>
    <x v="7"/>
    <x v="96"/>
    <x v="96"/>
    <x v="97"/>
    <x v="4"/>
  </r>
  <r>
    <x v="17"/>
    <x v="4"/>
    <x v="98"/>
    <x v="98"/>
    <x v="4"/>
    <x v="97"/>
    <x v="97"/>
    <x v="98"/>
    <x v="1"/>
  </r>
  <r>
    <x v="18"/>
    <x v="4"/>
    <x v="99"/>
    <x v="99"/>
    <x v="4"/>
    <x v="98"/>
    <x v="98"/>
    <x v="99"/>
    <x v="4"/>
  </r>
  <r>
    <x v="19"/>
    <x v="4"/>
    <x v="100"/>
    <x v="100"/>
    <x v="4"/>
    <x v="99"/>
    <x v="99"/>
    <x v="100"/>
    <x v="3"/>
  </r>
  <r>
    <x v="20"/>
    <x v="4"/>
    <x v="101"/>
    <x v="101"/>
    <x v="2"/>
    <x v="100"/>
    <x v="100"/>
    <x v="101"/>
    <x v="2"/>
  </r>
  <r>
    <x v="21"/>
    <x v="4"/>
    <x v="102"/>
    <x v="102"/>
    <x v="2"/>
    <x v="101"/>
    <x v="101"/>
    <x v="102"/>
    <x v="0"/>
  </r>
  <r>
    <x v="22"/>
    <x v="4"/>
    <x v="103"/>
    <x v="103"/>
    <x v="4"/>
    <x v="99"/>
    <x v="102"/>
    <x v="103"/>
    <x v="4"/>
  </r>
  <r>
    <x v="23"/>
    <x v="4"/>
    <x v="104"/>
    <x v="104"/>
    <x v="4"/>
    <x v="102"/>
    <x v="103"/>
    <x v="104"/>
    <x v="3"/>
  </r>
  <r>
    <x v="24"/>
    <x v="4"/>
    <x v="105"/>
    <x v="105"/>
    <x v="4"/>
    <x v="103"/>
    <x v="104"/>
    <x v="105"/>
    <x v="3"/>
  </r>
  <r>
    <x v="25"/>
    <x v="4"/>
    <x v="106"/>
    <x v="106"/>
    <x v="4"/>
    <x v="104"/>
    <x v="105"/>
    <x v="106"/>
    <x v="3"/>
  </r>
  <r>
    <x v="26"/>
    <x v="4"/>
    <x v="107"/>
    <x v="107"/>
    <x v="2"/>
    <x v="105"/>
    <x v="106"/>
    <x v="107"/>
    <x v="2"/>
  </r>
  <r>
    <x v="0"/>
    <x v="4"/>
    <x v="108"/>
    <x v="108"/>
    <x v="2"/>
    <x v="106"/>
    <x v="107"/>
    <x v="108"/>
    <x v="0"/>
  </r>
  <r>
    <x v="1"/>
    <x v="4"/>
    <x v="109"/>
    <x v="109"/>
    <x v="2"/>
    <x v="107"/>
    <x v="108"/>
    <x v="109"/>
    <x v="0"/>
  </r>
  <r>
    <x v="2"/>
    <x v="4"/>
    <x v="110"/>
    <x v="110"/>
    <x v="2"/>
    <x v="108"/>
    <x v="109"/>
    <x v="110"/>
    <x v="0"/>
  </r>
  <r>
    <x v="3"/>
    <x v="5"/>
    <x v="111"/>
    <x v="111"/>
    <x v="8"/>
    <x v="109"/>
    <x v="110"/>
    <x v="111"/>
    <x v="1"/>
  </r>
  <r>
    <x v="4"/>
    <x v="5"/>
    <x v="112"/>
    <x v="112"/>
    <x v="8"/>
    <x v="110"/>
    <x v="111"/>
    <x v="112"/>
    <x v="2"/>
  </r>
  <r>
    <x v="5"/>
    <x v="5"/>
    <x v="113"/>
    <x v="113"/>
    <x v="8"/>
    <x v="111"/>
    <x v="112"/>
    <x v="113"/>
    <x v="1"/>
  </r>
  <r>
    <x v="6"/>
    <x v="5"/>
    <x v="114"/>
    <x v="114"/>
    <x v="8"/>
    <x v="112"/>
    <x v="113"/>
    <x v="114"/>
    <x v="3"/>
  </r>
  <r>
    <x v="7"/>
    <x v="5"/>
    <x v="115"/>
    <x v="115"/>
    <x v="8"/>
    <x v="113"/>
    <x v="114"/>
    <x v="115"/>
    <x v="3"/>
  </r>
  <r>
    <x v="8"/>
    <x v="5"/>
    <x v="116"/>
    <x v="116"/>
    <x v="9"/>
    <x v="114"/>
    <x v="115"/>
    <x v="116"/>
    <x v="4"/>
  </r>
  <r>
    <x v="9"/>
    <x v="5"/>
    <x v="117"/>
    <x v="117"/>
    <x v="8"/>
    <x v="115"/>
    <x v="116"/>
    <x v="117"/>
    <x v="4"/>
  </r>
  <r>
    <x v="10"/>
    <x v="5"/>
    <x v="118"/>
    <x v="118"/>
    <x v="8"/>
    <x v="116"/>
    <x v="117"/>
    <x v="118"/>
    <x v="0"/>
  </r>
  <r>
    <x v="11"/>
    <x v="5"/>
    <x v="119"/>
    <x v="119"/>
    <x v="8"/>
    <x v="117"/>
    <x v="118"/>
    <x v="119"/>
    <x v="4"/>
  </r>
  <r>
    <x v="12"/>
    <x v="5"/>
    <x v="120"/>
    <x v="120"/>
    <x v="8"/>
    <x v="118"/>
    <x v="119"/>
    <x v="120"/>
    <x v="1"/>
  </r>
  <r>
    <x v="13"/>
    <x v="5"/>
    <x v="121"/>
    <x v="121"/>
    <x v="8"/>
    <x v="119"/>
    <x v="120"/>
    <x v="121"/>
    <x v="2"/>
  </r>
  <r>
    <x v="14"/>
    <x v="5"/>
    <x v="122"/>
    <x v="122"/>
    <x v="8"/>
    <x v="120"/>
    <x v="121"/>
    <x v="122"/>
    <x v="2"/>
  </r>
  <r>
    <x v="15"/>
    <x v="5"/>
    <x v="123"/>
    <x v="123"/>
    <x v="8"/>
    <x v="121"/>
    <x v="122"/>
    <x v="123"/>
    <x v="3"/>
  </r>
  <r>
    <x v="16"/>
    <x v="5"/>
    <x v="124"/>
    <x v="124"/>
    <x v="9"/>
    <x v="122"/>
    <x v="123"/>
    <x v="124"/>
    <x v="4"/>
  </r>
  <r>
    <x v="17"/>
    <x v="5"/>
    <x v="125"/>
    <x v="125"/>
    <x v="8"/>
    <x v="123"/>
    <x v="124"/>
    <x v="125"/>
    <x v="1"/>
  </r>
  <r>
    <x v="18"/>
    <x v="5"/>
    <x v="126"/>
    <x v="126"/>
    <x v="8"/>
    <x v="124"/>
    <x v="125"/>
    <x v="126"/>
    <x v="4"/>
  </r>
  <r>
    <x v="19"/>
    <x v="5"/>
    <x v="127"/>
    <x v="127"/>
    <x v="8"/>
    <x v="125"/>
    <x v="126"/>
    <x v="127"/>
    <x v="3"/>
  </r>
  <r>
    <x v="20"/>
    <x v="5"/>
    <x v="128"/>
    <x v="128"/>
    <x v="8"/>
    <x v="126"/>
    <x v="127"/>
    <x v="128"/>
    <x v="2"/>
  </r>
  <r>
    <x v="21"/>
    <x v="5"/>
    <x v="129"/>
    <x v="129"/>
    <x v="8"/>
    <x v="127"/>
    <x v="128"/>
    <x v="129"/>
    <x v="0"/>
  </r>
  <r>
    <x v="22"/>
    <x v="5"/>
    <x v="130"/>
    <x v="130"/>
    <x v="8"/>
    <x v="128"/>
    <x v="110"/>
    <x v="130"/>
    <x v="4"/>
  </r>
  <r>
    <x v="23"/>
    <x v="5"/>
    <x v="131"/>
    <x v="131"/>
    <x v="8"/>
    <x v="129"/>
    <x v="129"/>
    <x v="131"/>
    <x v="3"/>
  </r>
  <r>
    <x v="24"/>
    <x v="5"/>
    <x v="132"/>
    <x v="132"/>
    <x v="8"/>
    <x v="130"/>
    <x v="130"/>
    <x v="132"/>
    <x v="3"/>
  </r>
  <r>
    <x v="25"/>
    <x v="5"/>
    <x v="133"/>
    <x v="133"/>
    <x v="8"/>
    <x v="131"/>
    <x v="131"/>
    <x v="133"/>
    <x v="3"/>
  </r>
  <r>
    <x v="26"/>
    <x v="5"/>
    <x v="134"/>
    <x v="134"/>
    <x v="8"/>
    <x v="132"/>
    <x v="132"/>
    <x v="134"/>
    <x v="2"/>
  </r>
  <r>
    <x v="3"/>
    <x v="6"/>
    <x v="135"/>
    <x v="135"/>
    <x v="10"/>
    <x v="133"/>
    <x v="133"/>
    <x v="135"/>
    <x v="1"/>
  </r>
  <r>
    <x v="4"/>
    <x v="6"/>
    <x v="136"/>
    <x v="136"/>
    <x v="10"/>
    <x v="134"/>
    <x v="134"/>
    <x v="136"/>
    <x v="2"/>
  </r>
  <r>
    <x v="5"/>
    <x v="6"/>
    <x v="137"/>
    <x v="137"/>
    <x v="10"/>
    <x v="135"/>
    <x v="135"/>
    <x v="137"/>
    <x v="1"/>
  </r>
  <r>
    <x v="6"/>
    <x v="6"/>
    <x v="138"/>
    <x v="138"/>
    <x v="10"/>
    <x v="136"/>
    <x v="136"/>
    <x v="138"/>
    <x v="3"/>
  </r>
  <r>
    <x v="7"/>
    <x v="6"/>
    <x v="139"/>
    <x v="139"/>
    <x v="10"/>
    <x v="137"/>
    <x v="137"/>
    <x v="139"/>
    <x v="3"/>
  </r>
  <r>
    <x v="8"/>
    <x v="6"/>
    <x v="140"/>
    <x v="140"/>
    <x v="10"/>
    <x v="138"/>
    <x v="138"/>
    <x v="140"/>
    <x v="4"/>
  </r>
  <r>
    <x v="9"/>
    <x v="6"/>
    <x v="141"/>
    <x v="141"/>
    <x v="10"/>
    <x v="139"/>
    <x v="139"/>
    <x v="141"/>
    <x v="4"/>
  </r>
  <r>
    <x v="10"/>
    <x v="6"/>
    <x v="142"/>
    <x v="142"/>
    <x v="11"/>
    <x v="140"/>
    <x v="140"/>
    <x v="142"/>
    <x v="0"/>
  </r>
  <r>
    <x v="11"/>
    <x v="6"/>
    <x v="143"/>
    <x v="143"/>
    <x v="10"/>
    <x v="141"/>
    <x v="141"/>
    <x v="143"/>
    <x v="4"/>
  </r>
  <r>
    <x v="12"/>
    <x v="6"/>
    <x v="144"/>
    <x v="144"/>
    <x v="10"/>
    <x v="142"/>
    <x v="142"/>
    <x v="144"/>
    <x v="1"/>
  </r>
  <r>
    <x v="13"/>
    <x v="6"/>
    <x v="145"/>
    <x v="145"/>
    <x v="10"/>
    <x v="143"/>
    <x v="143"/>
    <x v="145"/>
    <x v="2"/>
  </r>
  <r>
    <x v="14"/>
    <x v="6"/>
    <x v="146"/>
    <x v="146"/>
    <x v="10"/>
    <x v="144"/>
    <x v="144"/>
    <x v="146"/>
    <x v="2"/>
  </r>
  <r>
    <x v="15"/>
    <x v="6"/>
    <x v="147"/>
    <x v="147"/>
    <x v="10"/>
    <x v="145"/>
    <x v="145"/>
    <x v="147"/>
    <x v="3"/>
  </r>
  <r>
    <x v="16"/>
    <x v="6"/>
    <x v="148"/>
    <x v="148"/>
    <x v="10"/>
    <x v="146"/>
    <x v="146"/>
    <x v="148"/>
    <x v="4"/>
  </r>
  <r>
    <x v="17"/>
    <x v="6"/>
    <x v="149"/>
    <x v="149"/>
    <x v="10"/>
    <x v="147"/>
    <x v="147"/>
    <x v="149"/>
    <x v="1"/>
  </r>
  <r>
    <x v="0"/>
    <x v="5"/>
    <x v="150"/>
    <x v="150"/>
    <x v="8"/>
    <x v="148"/>
    <x v="148"/>
    <x v="150"/>
    <x v="0"/>
  </r>
  <r>
    <x v="18"/>
    <x v="6"/>
    <x v="151"/>
    <x v="151"/>
    <x v="10"/>
    <x v="149"/>
    <x v="149"/>
    <x v="151"/>
    <x v="4"/>
  </r>
  <r>
    <x v="1"/>
    <x v="5"/>
    <x v="152"/>
    <x v="152"/>
    <x v="8"/>
    <x v="150"/>
    <x v="150"/>
    <x v="152"/>
    <x v="0"/>
  </r>
  <r>
    <x v="19"/>
    <x v="6"/>
    <x v="153"/>
    <x v="153"/>
    <x v="10"/>
    <x v="151"/>
    <x v="151"/>
    <x v="153"/>
    <x v="3"/>
  </r>
  <r>
    <x v="20"/>
    <x v="6"/>
    <x v="154"/>
    <x v="154"/>
    <x v="10"/>
    <x v="152"/>
    <x v="152"/>
    <x v="154"/>
    <x v="2"/>
  </r>
  <r>
    <x v="2"/>
    <x v="5"/>
    <x v="155"/>
    <x v="155"/>
    <x v="8"/>
    <x v="153"/>
    <x v="153"/>
    <x v="155"/>
    <x v="0"/>
  </r>
  <r>
    <x v="21"/>
    <x v="6"/>
    <x v="156"/>
    <x v="156"/>
    <x v="11"/>
    <x v="154"/>
    <x v="154"/>
    <x v="156"/>
    <x v="0"/>
  </r>
  <r>
    <x v="22"/>
    <x v="6"/>
    <x v="157"/>
    <x v="157"/>
    <x v="10"/>
    <x v="155"/>
    <x v="155"/>
    <x v="157"/>
    <x v="4"/>
  </r>
  <r>
    <x v="23"/>
    <x v="6"/>
    <x v="158"/>
    <x v="158"/>
    <x v="10"/>
    <x v="156"/>
    <x v="156"/>
    <x v="158"/>
    <x v="3"/>
  </r>
  <r>
    <x v="24"/>
    <x v="6"/>
    <x v="159"/>
    <x v="159"/>
    <x v="10"/>
    <x v="157"/>
    <x v="157"/>
    <x v="159"/>
    <x v="3"/>
  </r>
  <r>
    <x v="25"/>
    <x v="6"/>
    <x v="160"/>
    <x v="160"/>
    <x v="10"/>
    <x v="158"/>
    <x v="158"/>
    <x v="160"/>
    <x v="3"/>
  </r>
  <r>
    <x v="26"/>
    <x v="6"/>
    <x v="161"/>
    <x v="161"/>
    <x v="10"/>
    <x v="159"/>
    <x v="159"/>
    <x v="161"/>
    <x v="2"/>
  </r>
  <r>
    <x v="3"/>
    <x v="7"/>
    <x v="162"/>
    <x v="162"/>
    <x v="12"/>
    <x v="160"/>
    <x v="160"/>
    <x v="162"/>
    <x v="1"/>
  </r>
  <r>
    <x v="4"/>
    <x v="7"/>
    <x v="163"/>
    <x v="163"/>
    <x v="12"/>
    <x v="161"/>
    <x v="161"/>
    <x v="163"/>
    <x v="2"/>
  </r>
  <r>
    <x v="5"/>
    <x v="7"/>
    <x v="164"/>
    <x v="164"/>
    <x v="12"/>
    <x v="162"/>
    <x v="162"/>
    <x v="164"/>
    <x v="1"/>
  </r>
  <r>
    <x v="6"/>
    <x v="7"/>
    <x v="165"/>
    <x v="165"/>
    <x v="12"/>
    <x v="163"/>
    <x v="163"/>
    <x v="165"/>
    <x v="3"/>
  </r>
  <r>
    <x v="7"/>
    <x v="7"/>
    <x v="166"/>
    <x v="166"/>
    <x v="12"/>
    <x v="164"/>
    <x v="164"/>
    <x v="166"/>
    <x v="3"/>
  </r>
  <r>
    <x v="8"/>
    <x v="7"/>
    <x v="167"/>
    <x v="167"/>
    <x v="12"/>
    <x v="165"/>
    <x v="165"/>
    <x v="167"/>
    <x v="4"/>
  </r>
  <r>
    <x v="9"/>
    <x v="7"/>
    <x v="168"/>
    <x v="168"/>
    <x v="12"/>
    <x v="166"/>
    <x v="166"/>
    <x v="168"/>
    <x v="4"/>
  </r>
  <r>
    <x v="10"/>
    <x v="7"/>
    <x v="169"/>
    <x v="169"/>
    <x v="12"/>
    <x v="167"/>
    <x v="167"/>
    <x v="169"/>
    <x v="0"/>
  </r>
  <r>
    <x v="11"/>
    <x v="7"/>
    <x v="170"/>
    <x v="170"/>
    <x v="12"/>
    <x v="168"/>
    <x v="168"/>
    <x v="170"/>
    <x v="4"/>
  </r>
  <r>
    <x v="12"/>
    <x v="7"/>
    <x v="171"/>
    <x v="171"/>
    <x v="12"/>
    <x v="169"/>
    <x v="169"/>
    <x v="171"/>
    <x v="1"/>
  </r>
  <r>
    <x v="13"/>
    <x v="7"/>
    <x v="172"/>
    <x v="172"/>
    <x v="12"/>
    <x v="170"/>
    <x v="170"/>
    <x v="172"/>
    <x v="2"/>
  </r>
  <r>
    <x v="14"/>
    <x v="7"/>
    <x v="173"/>
    <x v="173"/>
    <x v="12"/>
    <x v="171"/>
    <x v="171"/>
    <x v="173"/>
    <x v="2"/>
  </r>
  <r>
    <x v="15"/>
    <x v="7"/>
    <x v="174"/>
    <x v="174"/>
    <x v="12"/>
    <x v="172"/>
    <x v="172"/>
    <x v="174"/>
    <x v="3"/>
  </r>
  <r>
    <x v="16"/>
    <x v="7"/>
    <x v="175"/>
    <x v="175"/>
    <x v="12"/>
    <x v="173"/>
    <x v="173"/>
    <x v="175"/>
    <x v="4"/>
  </r>
  <r>
    <x v="17"/>
    <x v="7"/>
    <x v="176"/>
    <x v="176"/>
    <x v="12"/>
    <x v="174"/>
    <x v="174"/>
    <x v="176"/>
    <x v="1"/>
  </r>
  <r>
    <x v="0"/>
    <x v="6"/>
    <x v="177"/>
    <x v="177"/>
    <x v="11"/>
    <x v="175"/>
    <x v="175"/>
    <x v="177"/>
    <x v="0"/>
  </r>
  <r>
    <x v="18"/>
    <x v="7"/>
    <x v="178"/>
    <x v="178"/>
    <x v="12"/>
    <x v="176"/>
    <x v="176"/>
    <x v="178"/>
    <x v="4"/>
  </r>
  <r>
    <x v="1"/>
    <x v="6"/>
    <x v="179"/>
    <x v="179"/>
    <x v="11"/>
    <x v="177"/>
    <x v="177"/>
    <x v="179"/>
    <x v="0"/>
  </r>
  <r>
    <x v="19"/>
    <x v="7"/>
    <x v="180"/>
    <x v="180"/>
    <x v="12"/>
    <x v="178"/>
    <x v="178"/>
    <x v="180"/>
    <x v="3"/>
  </r>
  <r>
    <x v="20"/>
    <x v="7"/>
    <x v="181"/>
    <x v="181"/>
    <x v="12"/>
    <x v="179"/>
    <x v="179"/>
    <x v="181"/>
    <x v="2"/>
  </r>
  <r>
    <x v="2"/>
    <x v="6"/>
    <x v="182"/>
    <x v="182"/>
    <x v="11"/>
    <x v="180"/>
    <x v="180"/>
    <x v="182"/>
    <x v="0"/>
  </r>
  <r>
    <x v="21"/>
    <x v="7"/>
    <x v="183"/>
    <x v="183"/>
    <x v="12"/>
    <x v="181"/>
    <x v="181"/>
    <x v="183"/>
    <x v="0"/>
  </r>
  <r>
    <x v="22"/>
    <x v="7"/>
    <x v="184"/>
    <x v="184"/>
    <x v="12"/>
    <x v="182"/>
    <x v="182"/>
    <x v="184"/>
    <x v="4"/>
  </r>
  <r>
    <x v="23"/>
    <x v="7"/>
    <x v="185"/>
    <x v="185"/>
    <x v="12"/>
    <x v="183"/>
    <x v="183"/>
    <x v="185"/>
    <x v="3"/>
  </r>
  <r>
    <x v="24"/>
    <x v="7"/>
    <x v="186"/>
    <x v="186"/>
    <x v="12"/>
    <x v="184"/>
    <x v="184"/>
    <x v="186"/>
    <x v="3"/>
  </r>
  <r>
    <x v="25"/>
    <x v="7"/>
    <x v="187"/>
    <x v="187"/>
    <x v="12"/>
    <x v="185"/>
    <x v="185"/>
    <x v="187"/>
    <x v="3"/>
  </r>
  <r>
    <x v="26"/>
    <x v="7"/>
    <x v="188"/>
    <x v="188"/>
    <x v="12"/>
    <x v="186"/>
    <x v="186"/>
    <x v="188"/>
    <x v="2"/>
  </r>
  <r>
    <x v="3"/>
    <x v="8"/>
    <x v="189"/>
    <x v="189"/>
    <x v="1"/>
    <x v="187"/>
    <x v="187"/>
    <x v="189"/>
    <x v="1"/>
  </r>
  <r>
    <x v="4"/>
    <x v="8"/>
    <x v="190"/>
    <x v="190"/>
    <x v="1"/>
    <x v="188"/>
    <x v="188"/>
    <x v="190"/>
    <x v="2"/>
  </r>
  <r>
    <x v="5"/>
    <x v="8"/>
    <x v="191"/>
    <x v="191"/>
    <x v="1"/>
    <x v="189"/>
    <x v="189"/>
    <x v="191"/>
    <x v="1"/>
  </r>
  <r>
    <x v="6"/>
    <x v="8"/>
    <x v="192"/>
    <x v="192"/>
    <x v="1"/>
    <x v="190"/>
    <x v="190"/>
    <x v="192"/>
    <x v="3"/>
  </r>
  <r>
    <x v="7"/>
    <x v="8"/>
    <x v="193"/>
    <x v="193"/>
    <x v="2"/>
    <x v="191"/>
    <x v="191"/>
    <x v="193"/>
    <x v="3"/>
  </r>
  <r>
    <x v="8"/>
    <x v="8"/>
    <x v="194"/>
    <x v="194"/>
    <x v="4"/>
    <x v="192"/>
    <x v="12"/>
    <x v="194"/>
    <x v="4"/>
  </r>
  <r>
    <x v="9"/>
    <x v="8"/>
    <x v="195"/>
    <x v="195"/>
    <x v="2"/>
    <x v="193"/>
    <x v="192"/>
    <x v="195"/>
    <x v="4"/>
  </r>
  <r>
    <x v="10"/>
    <x v="8"/>
    <x v="196"/>
    <x v="196"/>
    <x v="1"/>
    <x v="194"/>
    <x v="193"/>
    <x v="196"/>
    <x v="0"/>
  </r>
  <r>
    <x v="11"/>
    <x v="8"/>
    <x v="197"/>
    <x v="197"/>
    <x v="2"/>
    <x v="195"/>
    <x v="194"/>
    <x v="197"/>
    <x v="4"/>
  </r>
  <r>
    <x v="12"/>
    <x v="8"/>
    <x v="198"/>
    <x v="198"/>
    <x v="1"/>
    <x v="196"/>
    <x v="195"/>
    <x v="198"/>
    <x v="1"/>
  </r>
  <r>
    <x v="13"/>
    <x v="8"/>
    <x v="199"/>
    <x v="199"/>
    <x v="1"/>
    <x v="197"/>
    <x v="196"/>
    <x v="199"/>
    <x v="2"/>
  </r>
  <r>
    <x v="14"/>
    <x v="8"/>
    <x v="200"/>
    <x v="200"/>
    <x v="1"/>
    <x v="198"/>
    <x v="197"/>
    <x v="200"/>
    <x v="2"/>
  </r>
  <r>
    <x v="15"/>
    <x v="8"/>
    <x v="201"/>
    <x v="201"/>
    <x v="2"/>
    <x v="199"/>
    <x v="198"/>
    <x v="201"/>
    <x v="3"/>
  </r>
  <r>
    <x v="16"/>
    <x v="8"/>
    <x v="202"/>
    <x v="202"/>
    <x v="4"/>
    <x v="200"/>
    <x v="199"/>
    <x v="202"/>
    <x v="4"/>
  </r>
  <r>
    <x v="17"/>
    <x v="8"/>
    <x v="203"/>
    <x v="203"/>
    <x v="1"/>
    <x v="201"/>
    <x v="200"/>
    <x v="203"/>
    <x v="1"/>
  </r>
  <r>
    <x v="0"/>
    <x v="7"/>
    <x v="204"/>
    <x v="204"/>
    <x v="13"/>
    <x v="202"/>
    <x v="201"/>
    <x v="204"/>
    <x v="0"/>
  </r>
  <r>
    <x v="18"/>
    <x v="8"/>
    <x v="205"/>
    <x v="205"/>
    <x v="2"/>
    <x v="203"/>
    <x v="202"/>
    <x v="205"/>
    <x v="4"/>
  </r>
  <r>
    <x v="1"/>
    <x v="7"/>
    <x v="206"/>
    <x v="206"/>
    <x v="13"/>
    <x v="204"/>
    <x v="203"/>
    <x v="206"/>
    <x v="0"/>
  </r>
  <r>
    <x v="19"/>
    <x v="8"/>
    <x v="207"/>
    <x v="207"/>
    <x v="2"/>
    <x v="205"/>
    <x v="204"/>
    <x v="207"/>
    <x v="3"/>
  </r>
  <r>
    <x v="20"/>
    <x v="8"/>
    <x v="208"/>
    <x v="208"/>
    <x v="1"/>
    <x v="206"/>
    <x v="205"/>
    <x v="208"/>
    <x v="2"/>
  </r>
  <r>
    <x v="2"/>
    <x v="7"/>
    <x v="209"/>
    <x v="209"/>
    <x v="13"/>
    <x v="207"/>
    <x v="206"/>
    <x v="209"/>
    <x v="0"/>
  </r>
  <r>
    <x v="21"/>
    <x v="8"/>
    <x v="210"/>
    <x v="210"/>
    <x v="1"/>
    <x v="208"/>
    <x v="207"/>
    <x v="210"/>
    <x v="0"/>
  </r>
  <r>
    <x v="22"/>
    <x v="8"/>
    <x v="211"/>
    <x v="211"/>
    <x v="2"/>
    <x v="209"/>
    <x v="208"/>
    <x v="211"/>
    <x v="4"/>
  </r>
  <r>
    <x v="23"/>
    <x v="8"/>
    <x v="212"/>
    <x v="212"/>
    <x v="1"/>
    <x v="210"/>
    <x v="209"/>
    <x v="212"/>
    <x v="3"/>
  </r>
  <r>
    <x v="24"/>
    <x v="8"/>
    <x v="213"/>
    <x v="213"/>
    <x v="1"/>
    <x v="211"/>
    <x v="210"/>
    <x v="213"/>
    <x v="3"/>
  </r>
  <r>
    <x v="25"/>
    <x v="8"/>
    <x v="214"/>
    <x v="214"/>
    <x v="1"/>
    <x v="212"/>
    <x v="211"/>
    <x v="214"/>
    <x v="3"/>
  </r>
  <r>
    <x v="26"/>
    <x v="8"/>
    <x v="215"/>
    <x v="215"/>
    <x v="1"/>
    <x v="213"/>
    <x v="212"/>
    <x v="215"/>
    <x v="2"/>
  </r>
  <r>
    <x v="0"/>
    <x v="8"/>
    <x v="216"/>
    <x v="216"/>
    <x v="14"/>
    <x v="214"/>
    <x v="213"/>
    <x v="216"/>
    <x v="0"/>
  </r>
  <r>
    <x v="1"/>
    <x v="8"/>
    <x v="217"/>
    <x v="217"/>
    <x v="15"/>
    <x v="215"/>
    <x v="214"/>
    <x v="217"/>
    <x v="0"/>
  </r>
  <r>
    <x v="2"/>
    <x v="8"/>
    <x v="218"/>
    <x v="218"/>
    <x v="15"/>
    <x v="216"/>
    <x v="215"/>
    <x v="218"/>
    <x v="0"/>
  </r>
  <r>
    <x v="3"/>
    <x v="9"/>
    <x v="219"/>
    <x v="219"/>
    <x v="0"/>
    <x v="217"/>
    <x v="216"/>
    <x v="219"/>
    <x v="1"/>
  </r>
  <r>
    <x v="4"/>
    <x v="9"/>
    <x v="220"/>
    <x v="220"/>
    <x v="16"/>
    <x v="218"/>
    <x v="217"/>
    <x v="220"/>
    <x v="2"/>
  </r>
  <r>
    <x v="5"/>
    <x v="9"/>
    <x v="221"/>
    <x v="221"/>
    <x v="0"/>
    <x v="219"/>
    <x v="218"/>
    <x v="221"/>
    <x v="1"/>
  </r>
  <r>
    <x v="6"/>
    <x v="9"/>
    <x v="222"/>
    <x v="222"/>
    <x v="0"/>
    <x v="220"/>
    <x v="219"/>
    <x v="222"/>
    <x v="3"/>
  </r>
  <r>
    <x v="7"/>
    <x v="9"/>
    <x v="223"/>
    <x v="223"/>
    <x v="0"/>
    <x v="221"/>
    <x v="220"/>
    <x v="223"/>
    <x v="3"/>
  </r>
  <r>
    <x v="8"/>
    <x v="9"/>
    <x v="224"/>
    <x v="224"/>
    <x v="0"/>
    <x v="222"/>
    <x v="221"/>
    <x v="224"/>
    <x v="4"/>
  </r>
  <r>
    <x v="9"/>
    <x v="9"/>
    <x v="225"/>
    <x v="225"/>
    <x v="0"/>
    <x v="223"/>
    <x v="222"/>
    <x v="225"/>
    <x v="4"/>
  </r>
  <r>
    <x v="10"/>
    <x v="9"/>
    <x v="226"/>
    <x v="226"/>
    <x v="7"/>
    <x v="224"/>
    <x v="223"/>
    <x v="226"/>
    <x v="0"/>
  </r>
  <r>
    <x v="11"/>
    <x v="9"/>
    <x v="227"/>
    <x v="227"/>
    <x v="0"/>
    <x v="225"/>
    <x v="224"/>
    <x v="227"/>
    <x v="4"/>
  </r>
  <r>
    <x v="12"/>
    <x v="9"/>
    <x v="228"/>
    <x v="228"/>
    <x v="0"/>
    <x v="226"/>
    <x v="225"/>
    <x v="228"/>
    <x v="1"/>
  </r>
  <r>
    <x v="13"/>
    <x v="9"/>
    <x v="229"/>
    <x v="229"/>
    <x v="7"/>
    <x v="227"/>
    <x v="226"/>
    <x v="229"/>
    <x v="2"/>
  </r>
  <r>
    <x v="14"/>
    <x v="9"/>
    <x v="230"/>
    <x v="230"/>
    <x v="16"/>
    <x v="228"/>
    <x v="227"/>
    <x v="230"/>
    <x v="2"/>
  </r>
  <r>
    <x v="15"/>
    <x v="9"/>
    <x v="231"/>
    <x v="231"/>
    <x v="0"/>
    <x v="229"/>
    <x v="228"/>
    <x v="231"/>
    <x v="3"/>
  </r>
  <r>
    <x v="16"/>
    <x v="9"/>
    <x v="232"/>
    <x v="232"/>
    <x v="0"/>
    <x v="230"/>
    <x v="229"/>
    <x v="232"/>
    <x v="4"/>
  </r>
  <r>
    <x v="17"/>
    <x v="9"/>
    <x v="233"/>
    <x v="233"/>
    <x v="0"/>
    <x v="231"/>
    <x v="230"/>
    <x v="233"/>
    <x v="1"/>
  </r>
  <r>
    <x v="18"/>
    <x v="9"/>
    <x v="234"/>
    <x v="234"/>
    <x v="0"/>
    <x v="232"/>
    <x v="231"/>
    <x v="234"/>
    <x v="4"/>
  </r>
  <r>
    <x v="19"/>
    <x v="9"/>
    <x v="235"/>
    <x v="235"/>
    <x v="0"/>
    <x v="233"/>
    <x v="232"/>
    <x v="235"/>
    <x v="3"/>
  </r>
  <r>
    <x v="20"/>
    <x v="9"/>
    <x v="236"/>
    <x v="236"/>
    <x v="7"/>
    <x v="234"/>
    <x v="233"/>
    <x v="236"/>
    <x v="2"/>
  </r>
  <r>
    <x v="21"/>
    <x v="9"/>
    <x v="237"/>
    <x v="237"/>
    <x v="7"/>
    <x v="235"/>
    <x v="234"/>
    <x v="237"/>
    <x v="0"/>
  </r>
  <r>
    <x v="22"/>
    <x v="9"/>
    <x v="238"/>
    <x v="238"/>
    <x v="0"/>
    <x v="83"/>
    <x v="235"/>
    <x v="238"/>
    <x v="4"/>
  </r>
  <r>
    <x v="23"/>
    <x v="9"/>
    <x v="239"/>
    <x v="239"/>
    <x v="0"/>
    <x v="236"/>
    <x v="236"/>
    <x v="239"/>
    <x v="3"/>
  </r>
  <r>
    <x v="24"/>
    <x v="9"/>
    <x v="240"/>
    <x v="240"/>
    <x v="0"/>
    <x v="237"/>
    <x v="237"/>
    <x v="240"/>
    <x v="3"/>
  </r>
  <r>
    <x v="25"/>
    <x v="9"/>
    <x v="241"/>
    <x v="241"/>
    <x v="0"/>
    <x v="238"/>
    <x v="238"/>
    <x v="241"/>
    <x v="3"/>
  </r>
  <r>
    <x v="26"/>
    <x v="9"/>
    <x v="242"/>
    <x v="242"/>
    <x v="7"/>
    <x v="239"/>
    <x v="239"/>
    <x v="242"/>
    <x v="2"/>
  </r>
  <r>
    <x v="3"/>
    <x v="10"/>
    <x v="243"/>
    <x v="243"/>
    <x v="0"/>
    <x v="240"/>
    <x v="220"/>
    <x v="243"/>
    <x v="1"/>
  </r>
  <r>
    <x v="4"/>
    <x v="10"/>
    <x v="244"/>
    <x v="244"/>
    <x v="0"/>
    <x v="241"/>
    <x v="240"/>
    <x v="244"/>
    <x v="2"/>
  </r>
  <r>
    <x v="5"/>
    <x v="10"/>
    <x v="245"/>
    <x v="245"/>
    <x v="0"/>
    <x v="61"/>
    <x v="64"/>
    <x v="245"/>
    <x v="1"/>
  </r>
  <r>
    <x v="6"/>
    <x v="10"/>
    <x v="246"/>
    <x v="246"/>
    <x v="0"/>
    <x v="242"/>
    <x v="241"/>
    <x v="246"/>
    <x v="3"/>
  </r>
  <r>
    <x v="7"/>
    <x v="10"/>
    <x v="247"/>
    <x v="247"/>
    <x v="0"/>
    <x v="243"/>
    <x v="242"/>
    <x v="247"/>
    <x v="3"/>
  </r>
  <r>
    <x v="8"/>
    <x v="11"/>
    <x v="248"/>
    <x v="248"/>
    <x v="3"/>
    <x v="244"/>
    <x v="243"/>
    <x v="248"/>
    <x v="4"/>
  </r>
  <r>
    <x v="9"/>
    <x v="10"/>
    <x v="249"/>
    <x v="249"/>
    <x v="0"/>
    <x v="245"/>
    <x v="244"/>
    <x v="249"/>
    <x v="4"/>
  </r>
  <r>
    <x v="10"/>
    <x v="10"/>
    <x v="250"/>
    <x v="250"/>
    <x v="0"/>
    <x v="246"/>
    <x v="245"/>
    <x v="250"/>
    <x v="0"/>
  </r>
  <r>
    <x v="11"/>
    <x v="10"/>
    <x v="251"/>
    <x v="251"/>
    <x v="0"/>
    <x v="247"/>
    <x v="246"/>
    <x v="251"/>
    <x v="4"/>
  </r>
  <r>
    <x v="12"/>
    <x v="10"/>
    <x v="252"/>
    <x v="252"/>
    <x v="0"/>
    <x v="248"/>
    <x v="247"/>
    <x v="252"/>
    <x v="1"/>
  </r>
  <r>
    <x v="13"/>
    <x v="10"/>
    <x v="253"/>
    <x v="253"/>
    <x v="0"/>
    <x v="81"/>
    <x v="248"/>
    <x v="253"/>
    <x v="2"/>
  </r>
  <r>
    <x v="14"/>
    <x v="10"/>
    <x v="254"/>
    <x v="254"/>
    <x v="0"/>
    <x v="54"/>
    <x v="249"/>
    <x v="254"/>
    <x v="2"/>
  </r>
  <r>
    <x v="15"/>
    <x v="10"/>
    <x v="255"/>
    <x v="255"/>
    <x v="0"/>
    <x v="249"/>
    <x v="250"/>
    <x v="255"/>
    <x v="3"/>
  </r>
  <r>
    <x v="16"/>
    <x v="11"/>
    <x v="256"/>
    <x v="256"/>
    <x v="3"/>
    <x v="250"/>
    <x v="251"/>
    <x v="256"/>
    <x v="4"/>
  </r>
  <r>
    <x v="17"/>
    <x v="10"/>
    <x v="257"/>
    <x v="257"/>
    <x v="0"/>
    <x v="251"/>
    <x v="252"/>
    <x v="257"/>
    <x v="1"/>
  </r>
  <r>
    <x v="0"/>
    <x v="9"/>
    <x v="258"/>
    <x v="258"/>
    <x v="7"/>
    <x v="252"/>
    <x v="253"/>
    <x v="258"/>
    <x v="0"/>
  </r>
  <r>
    <x v="18"/>
    <x v="10"/>
    <x v="259"/>
    <x v="259"/>
    <x v="0"/>
    <x v="249"/>
    <x v="254"/>
    <x v="259"/>
    <x v="4"/>
  </r>
  <r>
    <x v="1"/>
    <x v="9"/>
    <x v="260"/>
    <x v="260"/>
    <x v="7"/>
    <x v="253"/>
    <x v="255"/>
    <x v="260"/>
    <x v="0"/>
  </r>
  <r>
    <x v="19"/>
    <x v="10"/>
    <x v="261"/>
    <x v="261"/>
    <x v="0"/>
    <x v="254"/>
    <x v="256"/>
    <x v="261"/>
    <x v="3"/>
  </r>
  <r>
    <x v="20"/>
    <x v="10"/>
    <x v="262"/>
    <x v="262"/>
    <x v="0"/>
    <x v="255"/>
    <x v="257"/>
    <x v="262"/>
    <x v="2"/>
  </r>
  <r>
    <x v="2"/>
    <x v="9"/>
    <x v="263"/>
    <x v="263"/>
    <x v="7"/>
    <x v="256"/>
    <x v="258"/>
    <x v="263"/>
    <x v="0"/>
  </r>
  <r>
    <x v="21"/>
    <x v="10"/>
    <x v="264"/>
    <x v="264"/>
    <x v="0"/>
    <x v="257"/>
    <x v="259"/>
    <x v="264"/>
    <x v="0"/>
  </r>
  <r>
    <x v="22"/>
    <x v="10"/>
    <x v="265"/>
    <x v="265"/>
    <x v="0"/>
    <x v="258"/>
    <x v="260"/>
    <x v="265"/>
    <x v="4"/>
  </r>
  <r>
    <x v="23"/>
    <x v="10"/>
    <x v="266"/>
    <x v="266"/>
    <x v="0"/>
    <x v="259"/>
    <x v="261"/>
    <x v="266"/>
    <x v="3"/>
  </r>
  <r>
    <x v="24"/>
    <x v="10"/>
    <x v="267"/>
    <x v="267"/>
    <x v="0"/>
    <x v="260"/>
    <x v="262"/>
    <x v="267"/>
    <x v="3"/>
  </r>
  <r>
    <x v="25"/>
    <x v="10"/>
    <x v="268"/>
    <x v="268"/>
    <x v="0"/>
    <x v="261"/>
    <x v="263"/>
    <x v="268"/>
    <x v="3"/>
  </r>
  <r>
    <x v="26"/>
    <x v="10"/>
    <x v="269"/>
    <x v="269"/>
    <x v="0"/>
    <x v="262"/>
    <x v="264"/>
    <x v="269"/>
    <x v="2"/>
  </r>
  <r>
    <x v="3"/>
    <x v="11"/>
    <x v="270"/>
    <x v="270"/>
    <x v="4"/>
    <x v="263"/>
    <x v="265"/>
    <x v="270"/>
    <x v="1"/>
  </r>
  <r>
    <x v="4"/>
    <x v="11"/>
    <x v="271"/>
    <x v="271"/>
    <x v="4"/>
    <x v="264"/>
    <x v="266"/>
    <x v="271"/>
    <x v="2"/>
  </r>
  <r>
    <x v="5"/>
    <x v="11"/>
    <x v="272"/>
    <x v="272"/>
    <x v="4"/>
    <x v="265"/>
    <x v="11"/>
    <x v="272"/>
    <x v="1"/>
  </r>
  <r>
    <x v="6"/>
    <x v="11"/>
    <x v="273"/>
    <x v="273"/>
    <x v="4"/>
    <x v="25"/>
    <x v="267"/>
    <x v="273"/>
    <x v="3"/>
  </r>
  <r>
    <x v="7"/>
    <x v="11"/>
    <x v="274"/>
    <x v="274"/>
    <x v="4"/>
    <x v="266"/>
    <x v="268"/>
    <x v="274"/>
    <x v="3"/>
  </r>
  <r>
    <x v="9"/>
    <x v="11"/>
    <x v="275"/>
    <x v="275"/>
    <x v="4"/>
    <x v="267"/>
    <x v="269"/>
    <x v="275"/>
    <x v="4"/>
  </r>
  <r>
    <x v="10"/>
    <x v="11"/>
    <x v="276"/>
    <x v="276"/>
    <x v="2"/>
    <x v="268"/>
    <x v="270"/>
    <x v="276"/>
    <x v="0"/>
  </r>
  <r>
    <x v="11"/>
    <x v="11"/>
    <x v="277"/>
    <x v="277"/>
    <x v="4"/>
    <x v="269"/>
    <x v="101"/>
    <x v="277"/>
    <x v="4"/>
  </r>
  <r>
    <x v="12"/>
    <x v="11"/>
    <x v="278"/>
    <x v="278"/>
    <x v="4"/>
    <x v="270"/>
    <x v="271"/>
    <x v="278"/>
    <x v="1"/>
  </r>
  <r>
    <x v="13"/>
    <x v="11"/>
    <x v="279"/>
    <x v="279"/>
    <x v="4"/>
    <x v="271"/>
    <x v="272"/>
    <x v="279"/>
    <x v="2"/>
  </r>
  <r>
    <x v="14"/>
    <x v="11"/>
    <x v="280"/>
    <x v="280"/>
    <x v="4"/>
    <x v="272"/>
    <x v="273"/>
    <x v="280"/>
    <x v="2"/>
  </r>
  <r>
    <x v="15"/>
    <x v="11"/>
    <x v="281"/>
    <x v="281"/>
    <x v="4"/>
    <x v="273"/>
    <x v="274"/>
    <x v="281"/>
    <x v="3"/>
  </r>
  <r>
    <x v="17"/>
    <x v="11"/>
    <x v="282"/>
    <x v="282"/>
    <x v="4"/>
    <x v="274"/>
    <x v="275"/>
    <x v="282"/>
    <x v="1"/>
  </r>
  <r>
    <x v="0"/>
    <x v="10"/>
    <x v="283"/>
    <x v="283"/>
    <x v="16"/>
    <x v="275"/>
    <x v="276"/>
    <x v="283"/>
    <x v="0"/>
  </r>
  <r>
    <x v="18"/>
    <x v="11"/>
    <x v="284"/>
    <x v="284"/>
    <x v="4"/>
    <x v="276"/>
    <x v="277"/>
    <x v="284"/>
    <x v="4"/>
  </r>
  <r>
    <x v="1"/>
    <x v="10"/>
    <x v="285"/>
    <x v="285"/>
    <x v="16"/>
    <x v="277"/>
    <x v="278"/>
    <x v="285"/>
    <x v="0"/>
  </r>
  <r>
    <x v="19"/>
    <x v="11"/>
    <x v="286"/>
    <x v="286"/>
    <x v="4"/>
    <x v="278"/>
    <x v="279"/>
    <x v="286"/>
    <x v="3"/>
  </r>
  <r>
    <x v="20"/>
    <x v="11"/>
    <x v="287"/>
    <x v="287"/>
    <x v="4"/>
    <x v="279"/>
    <x v="280"/>
    <x v="287"/>
    <x v="2"/>
  </r>
  <r>
    <x v="2"/>
    <x v="10"/>
    <x v="288"/>
    <x v="288"/>
    <x v="16"/>
    <x v="280"/>
    <x v="281"/>
    <x v="288"/>
    <x v="0"/>
  </r>
  <r>
    <x v="21"/>
    <x v="11"/>
    <x v="289"/>
    <x v="289"/>
    <x v="2"/>
    <x v="281"/>
    <x v="282"/>
    <x v="289"/>
    <x v="0"/>
  </r>
  <r>
    <x v="22"/>
    <x v="11"/>
    <x v="290"/>
    <x v="290"/>
    <x v="4"/>
    <x v="282"/>
    <x v="283"/>
    <x v="290"/>
    <x v="4"/>
  </r>
  <r>
    <x v="23"/>
    <x v="11"/>
    <x v="291"/>
    <x v="291"/>
    <x v="4"/>
    <x v="283"/>
    <x v="284"/>
    <x v="291"/>
    <x v="3"/>
  </r>
  <r>
    <x v="24"/>
    <x v="11"/>
    <x v="292"/>
    <x v="292"/>
    <x v="4"/>
    <x v="18"/>
    <x v="285"/>
    <x v="292"/>
    <x v="3"/>
  </r>
  <r>
    <x v="25"/>
    <x v="11"/>
    <x v="293"/>
    <x v="293"/>
    <x v="4"/>
    <x v="284"/>
    <x v="286"/>
    <x v="293"/>
    <x v="3"/>
  </r>
  <r>
    <x v="26"/>
    <x v="11"/>
    <x v="294"/>
    <x v="294"/>
    <x v="4"/>
    <x v="285"/>
    <x v="287"/>
    <x v="294"/>
    <x v="2"/>
  </r>
  <r>
    <x v="8"/>
    <x v="12"/>
    <x v="295"/>
    <x v="295"/>
    <x v="17"/>
    <x v="286"/>
    <x v="288"/>
    <x v="295"/>
    <x v="4"/>
  </r>
  <r>
    <x v="16"/>
    <x v="12"/>
    <x v="296"/>
    <x v="296"/>
    <x v="17"/>
    <x v="287"/>
    <x v="289"/>
    <x v="296"/>
    <x v="4"/>
  </r>
  <r>
    <x v="0"/>
    <x v="11"/>
    <x v="297"/>
    <x v="297"/>
    <x v="1"/>
    <x v="288"/>
    <x v="290"/>
    <x v="297"/>
    <x v="0"/>
  </r>
  <r>
    <x v="1"/>
    <x v="11"/>
    <x v="298"/>
    <x v="298"/>
    <x v="2"/>
    <x v="289"/>
    <x v="291"/>
    <x v="298"/>
    <x v="0"/>
  </r>
  <r>
    <x v="2"/>
    <x v="11"/>
    <x v="299"/>
    <x v="299"/>
    <x v="2"/>
    <x v="290"/>
    <x v="292"/>
    <x v="299"/>
    <x v="0"/>
  </r>
  <r>
    <x v="3"/>
    <x v="12"/>
    <x v="300"/>
    <x v="300"/>
    <x v="18"/>
    <x v="291"/>
    <x v="293"/>
    <x v="300"/>
    <x v="1"/>
  </r>
  <r>
    <x v="4"/>
    <x v="12"/>
    <x v="301"/>
    <x v="301"/>
    <x v="18"/>
    <x v="292"/>
    <x v="294"/>
    <x v="301"/>
    <x v="2"/>
  </r>
  <r>
    <x v="5"/>
    <x v="12"/>
    <x v="302"/>
    <x v="302"/>
    <x v="18"/>
    <x v="293"/>
    <x v="295"/>
    <x v="302"/>
    <x v="1"/>
  </r>
  <r>
    <x v="6"/>
    <x v="12"/>
    <x v="303"/>
    <x v="303"/>
    <x v="17"/>
    <x v="294"/>
    <x v="296"/>
    <x v="303"/>
    <x v="3"/>
  </r>
  <r>
    <x v="7"/>
    <x v="12"/>
    <x v="304"/>
    <x v="304"/>
    <x v="17"/>
    <x v="295"/>
    <x v="297"/>
    <x v="304"/>
    <x v="3"/>
  </r>
  <r>
    <x v="8"/>
    <x v="13"/>
    <x v="305"/>
    <x v="305"/>
    <x v="19"/>
    <x v="296"/>
    <x v="298"/>
    <x v="305"/>
    <x v="4"/>
  </r>
  <r>
    <x v="9"/>
    <x v="12"/>
    <x v="306"/>
    <x v="306"/>
    <x v="17"/>
    <x v="297"/>
    <x v="299"/>
    <x v="306"/>
    <x v="4"/>
  </r>
  <r>
    <x v="10"/>
    <x v="12"/>
    <x v="307"/>
    <x v="307"/>
    <x v="17"/>
    <x v="298"/>
    <x v="300"/>
    <x v="307"/>
    <x v="0"/>
  </r>
  <r>
    <x v="11"/>
    <x v="12"/>
    <x v="308"/>
    <x v="308"/>
    <x v="17"/>
    <x v="299"/>
    <x v="301"/>
    <x v="308"/>
    <x v="4"/>
  </r>
  <r>
    <x v="12"/>
    <x v="12"/>
    <x v="309"/>
    <x v="309"/>
    <x v="18"/>
    <x v="300"/>
    <x v="302"/>
    <x v="309"/>
    <x v="1"/>
  </r>
  <r>
    <x v="13"/>
    <x v="12"/>
    <x v="310"/>
    <x v="310"/>
    <x v="18"/>
    <x v="301"/>
    <x v="303"/>
    <x v="310"/>
    <x v="2"/>
  </r>
  <r>
    <x v="14"/>
    <x v="12"/>
    <x v="311"/>
    <x v="311"/>
    <x v="18"/>
    <x v="302"/>
    <x v="304"/>
    <x v="311"/>
    <x v="2"/>
  </r>
  <r>
    <x v="15"/>
    <x v="12"/>
    <x v="312"/>
    <x v="312"/>
    <x v="17"/>
    <x v="303"/>
    <x v="305"/>
    <x v="312"/>
    <x v="3"/>
  </r>
  <r>
    <x v="16"/>
    <x v="13"/>
    <x v="313"/>
    <x v="313"/>
    <x v="19"/>
    <x v="304"/>
    <x v="306"/>
    <x v="313"/>
    <x v="4"/>
  </r>
  <r>
    <x v="17"/>
    <x v="12"/>
    <x v="314"/>
    <x v="314"/>
    <x v="18"/>
    <x v="305"/>
    <x v="307"/>
    <x v="314"/>
    <x v="1"/>
  </r>
  <r>
    <x v="18"/>
    <x v="12"/>
    <x v="315"/>
    <x v="315"/>
    <x v="17"/>
    <x v="306"/>
    <x v="308"/>
    <x v="315"/>
    <x v="4"/>
  </r>
  <r>
    <x v="19"/>
    <x v="12"/>
    <x v="316"/>
    <x v="316"/>
    <x v="17"/>
    <x v="307"/>
    <x v="293"/>
    <x v="316"/>
    <x v="3"/>
  </r>
  <r>
    <x v="20"/>
    <x v="12"/>
    <x v="317"/>
    <x v="317"/>
    <x v="18"/>
    <x v="308"/>
    <x v="309"/>
    <x v="317"/>
    <x v="2"/>
  </r>
  <r>
    <x v="21"/>
    <x v="12"/>
    <x v="318"/>
    <x v="318"/>
    <x v="17"/>
    <x v="309"/>
    <x v="310"/>
    <x v="318"/>
    <x v="0"/>
  </r>
  <r>
    <x v="22"/>
    <x v="12"/>
    <x v="319"/>
    <x v="319"/>
    <x v="17"/>
    <x v="310"/>
    <x v="311"/>
    <x v="319"/>
    <x v="4"/>
  </r>
  <r>
    <x v="23"/>
    <x v="12"/>
    <x v="320"/>
    <x v="320"/>
    <x v="17"/>
    <x v="311"/>
    <x v="312"/>
    <x v="320"/>
    <x v="3"/>
  </r>
  <r>
    <x v="24"/>
    <x v="12"/>
    <x v="321"/>
    <x v="321"/>
    <x v="17"/>
    <x v="312"/>
    <x v="313"/>
    <x v="321"/>
    <x v="3"/>
  </r>
  <r>
    <x v="25"/>
    <x v="12"/>
    <x v="322"/>
    <x v="322"/>
    <x v="17"/>
    <x v="313"/>
    <x v="314"/>
    <x v="322"/>
    <x v="3"/>
  </r>
  <r>
    <x v="26"/>
    <x v="12"/>
    <x v="323"/>
    <x v="323"/>
    <x v="18"/>
    <x v="314"/>
    <x v="315"/>
    <x v="323"/>
    <x v="2"/>
  </r>
  <r>
    <x v="3"/>
    <x v="13"/>
    <x v="324"/>
    <x v="324"/>
    <x v="19"/>
    <x v="315"/>
    <x v="316"/>
    <x v="324"/>
    <x v="1"/>
  </r>
  <r>
    <x v="4"/>
    <x v="13"/>
    <x v="325"/>
    <x v="325"/>
    <x v="19"/>
    <x v="316"/>
    <x v="317"/>
    <x v="325"/>
    <x v="2"/>
  </r>
  <r>
    <x v="5"/>
    <x v="13"/>
    <x v="326"/>
    <x v="326"/>
    <x v="19"/>
    <x v="317"/>
    <x v="318"/>
    <x v="326"/>
    <x v="1"/>
  </r>
  <r>
    <x v="6"/>
    <x v="13"/>
    <x v="327"/>
    <x v="327"/>
    <x v="19"/>
    <x v="318"/>
    <x v="319"/>
    <x v="327"/>
    <x v="3"/>
  </r>
  <r>
    <x v="7"/>
    <x v="13"/>
    <x v="328"/>
    <x v="328"/>
    <x v="19"/>
    <x v="319"/>
    <x v="320"/>
    <x v="328"/>
    <x v="3"/>
  </r>
  <r>
    <x v="9"/>
    <x v="13"/>
    <x v="329"/>
    <x v="329"/>
    <x v="19"/>
    <x v="320"/>
    <x v="321"/>
    <x v="329"/>
    <x v="4"/>
  </r>
  <r>
    <x v="10"/>
    <x v="13"/>
    <x v="330"/>
    <x v="330"/>
    <x v="19"/>
    <x v="321"/>
    <x v="322"/>
    <x v="330"/>
    <x v="0"/>
  </r>
  <r>
    <x v="11"/>
    <x v="13"/>
    <x v="331"/>
    <x v="331"/>
    <x v="19"/>
    <x v="322"/>
    <x v="323"/>
    <x v="331"/>
    <x v="4"/>
  </r>
  <r>
    <x v="12"/>
    <x v="13"/>
    <x v="332"/>
    <x v="332"/>
    <x v="19"/>
    <x v="323"/>
    <x v="324"/>
    <x v="332"/>
    <x v="1"/>
  </r>
  <r>
    <x v="13"/>
    <x v="13"/>
    <x v="333"/>
    <x v="333"/>
    <x v="19"/>
    <x v="324"/>
    <x v="325"/>
    <x v="333"/>
    <x v="2"/>
  </r>
  <r>
    <x v="14"/>
    <x v="13"/>
    <x v="334"/>
    <x v="334"/>
    <x v="19"/>
    <x v="325"/>
    <x v="326"/>
    <x v="334"/>
    <x v="2"/>
  </r>
  <r>
    <x v="15"/>
    <x v="13"/>
    <x v="335"/>
    <x v="335"/>
    <x v="19"/>
    <x v="326"/>
    <x v="327"/>
    <x v="335"/>
    <x v="3"/>
  </r>
  <r>
    <x v="17"/>
    <x v="13"/>
    <x v="336"/>
    <x v="336"/>
    <x v="19"/>
    <x v="327"/>
    <x v="328"/>
    <x v="336"/>
    <x v="1"/>
  </r>
  <r>
    <x v="0"/>
    <x v="12"/>
    <x v="337"/>
    <x v="337"/>
    <x v="17"/>
    <x v="328"/>
    <x v="329"/>
    <x v="337"/>
    <x v="0"/>
  </r>
  <r>
    <x v="18"/>
    <x v="13"/>
    <x v="338"/>
    <x v="338"/>
    <x v="19"/>
    <x v="329"/>
    <x v="330"/>
    <x v="338"/>
    <x v="4"/>
  </r>
  <r>
    <x v="1"/>
    <x v="12"/>
    <x v="339"/>
    <x v="339"/>
    <x v="17"/>
    <x v="330"/>
    <x v="331"/>
    <x v="339"/>
    <x v="0"/>
  </r>
  <r>
    <x v="19"/>
    <x v="13"/>
    <x v="340"/>
    <x v="340"/>
    <x v="19"/>
    <x v="331"/>
    <x v="332"/>
    <x v="340"/>
    <x v="3"/>
  </r>
  <r>
    <x v="20"/>
    <x v="13"/>
    <x v="341"/>
    <x v="341"/>
    <x v="19"/>
    <x v="332"/>
    <x v="333"/>
    <x v="341"/>
    <x v="2"/>
  </r>
  <r>
    <x v="2"/>
    <x v="12"/>
    <x v="342"/>
    <x v="342"/>
    <x v="18"/>
    <x v="333"/>
    <x v="334"/>
    <x v="342"/>
    <x v="0"/>
  </r>
  <r>
    <x v="21"/>
    <x v="13"/>
    <x v="343"/>
    <x v="343"/>
    <x v="19"/>
    <x v="334"/>
    <x v="335"/>
    <x v="343"/>
    <x v="0"/>
  </r>
  <r>
    <x v="22"/>
    <x v="13"/>
    <x v="344"/>
    <x v="344"/>
    <x v="19"/>
    <x v="335"/>
    <x v="336"/>
    <x v="344"/>
    <x v="4"/>
  </r>
  <r>
    <x v="23"/>
    <x v="13"/>
    <x v="345"/>
    <x v="345"/>
    <x v="19"/>
    <x v="336"/>
    <x v="337"/>
    <x v="345"/>
    <x v="3"/>
  </r>
  <r>
    <x v="24"/>
    <x v="13"/>
    <x v="346"/>
    <x v="346"/>
    <x v="19"/>
    <x v="337"/>
    <x v="338"/>
    <x v="346"/>
    <x v="3"/>
  </r>
  <r>
    <x v="25"/>
    <x v="13"/>
    <x v="347"/>
    <x v="347"/>
    <x v="19"/>
    <x v="338"/>
    <x v="339"/>
    <x v="347"/>
    <x v="3"/>
  </r>
  <r>
    <x v="26"/>
    <x v="13"/>
    <x v="348"/>
    <x v="348"/>
    <x v="19"/>
    <x v="339"/>
    <x v="340"/>
    <x v="348"/>
    <x v="2"/>
  </r>
  <r>
    <x v="8"/>
    <x v="14"/>
    <x v="349"/>
    <x v="349"/>
    <x v="0"/>
    <x v="340"/>
    <x v="341"/>
    <x v="349"/>
    <x v="4"/>
  </r>
  <r>
    <x v="16"/>
    <x v="14"/>
    <x v="350"/>
    <x v="350"/>
    <x v="0"/>
    <x v="341"/>
    <x v="77"/>
    <x v="350"/>
    <x v="4"/>
  </r>
  <r>
    <x v="0"/>
    <x v="13"/>
    <x v="351"/>
    <x v="351"/>
    <x v="19"/>
    <x v="342"/>
    <x v="342"/>
    <x v="351"/>
    <x v="0"/>
  </r>
  <r>
    <x v="1"/>
    <x v="13"/>
    <x v="352"/>
    <x v="352"/>
    <x v="19"/>
    <x v="343"/>
    <x v="343"/>
    <x v="352"/>
    <x v="0"/>
  </r>
  <r>
    <x v="2"/>
    <x v="13"/>
    <x v="353"/>
    <x v="353"/>
    <x v="19"/>
    <x v="344"/>
    <x v="344"/>
    <x v="353"/>
    <x v="0"/>
  </r>
  <r>
    <x v="3"/>
    <x v="14"/>
    <x v="354"/>
    <x v="354"/>
    <x v="16"/>
    <x v="345"/>
    <x v="345"/>
    <x v="354"/>
    <x v="1"/>
  </r>
  <r>
    <x v="4"/>
    <x v="14"/>
    <x v="355"/>
    <x v="355"/>
    <x v="7"/>
    <x v="346"/>
    <x v="346"/>
    <x v="355"/>
    <x v="2"/>
  </r>
  <r>
    <x v="5"/>
    <x v="14"/>
    <x v="266"/>
    <x v="356"/>
    <x v="16"/>
    <x v="347"/>
    <x v="347"/>
    <x v="356"/>
    <x v="1"/>
  </r>
  <r>
    <x v="6"/>
    <x v="14"/>
    <x v="356"/>
    <x v="357"/>
    <x v="0"/>
    <x v="348"/>
    <x v="348"/>
    <x v="357"/>
    <x v="3"/>
  </r>
  <r>
    <x v="7"/>
    <x v="14"/>
    <x v="357"/>
    <x v="358"/>
    <x v="0"/>
    <x v="349"/>
    <x v="247"/>
    <x v="358"/>
    <x v="3"/>
  </r>
  <r>
    <x v="9"/>
    <x v="14"/>
    <x v="358"/>
    <x v="359"/>
    <x v="0"/>
    <x v="350"/>
    <x v="349"/>
    <x v="359"/>
    <x v="4"/>
  </r>
  <r>
    <x v="10"/>
    <x v="15"/>
    <x v="359"/>
    <x v="360"/>
    <x v="20"/>
    <x v="351"/>
    <x v="256"/>
    <x v="360"/>
    <x v="0"/>
  </r>
  <r>
    <x v="11"/>
    <x v="14"/>
    <x v="360"/>
    <x v="361"/>
    <x v="0"/>
    <x v="352"/>
    <x v="350"/>
    <x v="361"/>
    <x v="4"/>
  </r>
  <r>
    <x v="12"/>
    <x v="14"/>
    <x v="361"/>
    <x v="362"/>
    <x v="0"/>
    <x v="221"/>
    <x v="351"/>
    <x v="362"/>
    <x v="1"/>
  </r>
  <r>
    <x v="13"/>
    <x v="14"/>
    <x v="362"/>
    <x v="363"/>
    <x v="3"/>
    <x v="353"/>
    <x v="352"/>
    <x v="363"/>
    <x v="2"/>
  </r>
  <r>
    <x v="14"/>
    <x v="14"/>
    <x v="363"/>
    <x v="364"/>
    <x v="7"/>
    <x v="354"/>
    <x v="353"/>
    <x v="364"/>
    <x v="2"/>
  </r>
  <r>
    <x v="15"/>
    <x v="14"/>
    <x v="364"/>
    <x v="365"/>
    <x v="0"/>
    <x v="221"/>
    <x v="354"/>
    <x v="365"/>
    <x v="3"/>
  </r>
  <r>
    <x v="17"/>
    <x v="14"/>
    <x v="365"/>
    <x v="366"/>
    <x v="0"/>
    <x v="355"/>
    <x v="355"/>
    <x v="366"/>
    <x v="1"/>
  </r>
  <r>
    <x v="18"/>
    <x v="14"/>
    <x v="366"/>
    <x v="367"/>
    <x v="0"/>
    <x v="356"/>
    <x v="356"/>
    <x v="367"/>
    <x v="4"/>
  </r>
  <r>
    <x v="19"/>
    <x v="14"/>
    <x v="367"/>
    <x v="368"/>
    <x v="0"/>
    <x v="357"/>
    <x v="357"/>
    <x v="368"/>
    <x v="3"/>
  </r>
  <r>
    <x v="20"/>
    <x v="14"/>
    <x v="368"/>
    <x v="369"/>
    <x v="3"/>
    <x v="358"/>
    <x v="278"/>
    <x v="369"/>
    <x v="2"/>
  </r>
  <r>
    <x v="21"/>
    <x v="14"/>
    <x v="369"/>
    <x v="370"/>
    <x v="3"/>
    <x v="359"/>
    <x v="358"/>
    <x v="370"/>
    <x v="0"/>
  </r>
  <r>
    <x v="22"/>
    <x v="14"/>
    <x v="370"/>
    <x v="371"/>
    <x v="0"/>
    <x v="57"/>
    <x v="359"/>
    <x v="371"/>
    <x v="4"/>
  </r>
  <r>
    <x v="23"/>
    <x v="14"/>
    <x v="371"/>
    <x v="372"/>
    <x v="0"/>
    <x v="360"/>
    <x v="221"/>
    <x v="372"/>
    <x v="3"/>
  </r>
  <r>
    <x v="24"/>
    <x v="14"/>
    <x v="372"/>
    <x v="373"/>
    <x v="0"/>
    <x v="361"/>
    <x v="360"/>
    <x v="373"/>
    <x v="3"/>
  </r>
  <r>
    <x v="25"/>
    <x v="14"/>
    <x v="373"/>
    <x v="374"/>
    <x v="0"/>
    <x v="362"/>
    <x v="64"/>
    <x v="374"/>
    <x v="3"/>
  </r>
  <r>
    <x v="26"/>
    <x v="14"/>
    <x v="374"/>
    <x v="375"/>
    <x v="3"/>
    <x v="363"/>
    <x v="361"/>
    <x v="375"/>
    <x v="2"/>
  </r>
  <r>
    <x v="10"/>
    <x v="14"/>
    <x v="375"/>
    <x v="376"/>
    <x v="3"/>
    <x v="364"/>
    <x v="362"/>
    <x v="376"/>
    <x v="0"/>
  </r>
  <r>
    <x v="27"/>
    <x v="0"/>
    <x v="376"/>
    <x v="377"/>
    <x v="0"/>
    <x v="365"/>
    <x v="363"/>
    <x v="377"/>
    <x v="5"/>
  </r>
  <r>
    <x v="0"/>
    <x v="16"/>
    <x v="377"/>
    <x v="378"/>
    <x v="21"/>
    <x v="366"/>
    <x v="364"/>
    <x v="378"/>
    <x v="0"/>
  </r>
  <r>
    <x v="1"/>
    <x v="15"/>
    <x v="378"/>
    <x v="379"/>
    <x v="20"/>
    <x v="367"/>
    <x v="365"/>
    <x v="379"/>
    <x v="0"/>
  </r>
  <r>
    <x v="28"/>
    <x v="0"/>
    <x v="379"/>
    <x v="380"/>
    <x v="0"/>
    <x v="368"/>
    <x v="366"/>
    <x v="380"/>
    <x v="0"/>
  </r>
  <r>
    <x v="2"/>
    <x v="15"/>
    <x v="380"/>
    <x v="381"/>
    <x v="20"/>
    <x v="369"/>
    <x v="367"/>
    <x v="381"/>
    <x v="0"/>
  </r>
  <r>
    <x v="29"/>
    <x v="1"/>
    <x v="381"/>
    <x v="382"/>
    <x v="2"/>
    <x v="370"/>
    <x v="368"/>
    <x v="382"/>
    <x v="0"/>
  </r>
  <r>
    <x v="30"/>
    <x v="1"/>
    <x v="382"/>
    <x v="383"/>
    <x v="1"/>
    <x v="371"/>
    <x v="369"/>
    <x v="383"/>
    <x v="2"/>
  </r>
  <r>
    <x v="0"/>
    <x v="17"/>
    <x v="383"/>
    <x v="384"/>
    <x v="22"/>
    <x v="372"/>
    <x v="370"/>
    <x v="384"/>
    <x v="0"/>
  </r>
  <r>
    <x v="31"/>
    <x v="1"/>
    <x v="384"/>
    <x v="385"/>
    <x v="1"/>
    <x v="373"/>
    <x v="192"/>
    <x v="385"/>
    <x v="1"/>
  </r>
  <r>
    <x v="1"/>
    <x v="14"/>
    <x v="385"/>
    <x v="386"/>
    <x v="3"/>
    <x v="374"/>
    <x v="371"/>
    <x v="386"/>
    <x v="0"/>
  </r>
  <r>
    <x v="2"/>
    <x v="14"/>
    <x v="386"/>
    <x v="387"/>
    <x v="3"/>
    <x v="375"/>
    <x v="372"/>
    <x v="387"/>
    <x v="0"/>
  </r>
  <r>
    <x v="32"/>
    <x v="1"/>
    <x v="387"/>
    <x v="388"/>
    <x v="1"/>
    <x v="376"/>
    <x v="85"/>
    <x v="388"/>
    <x v="2"/>
  </r>
  <r>
    <x v="33"/>
    <x v="1"/>
    <x v="388"/>
    <x v="389"/>
    <x v="1"/>
    <x v="377"/>
    <x v="373"/>
    <x v="389"/>
    <x v="1"/>
  </r>
  <r>
    <x v="34"/>
    <x v="1"/>
    <x v="389"/>
    <x v="390"/>
    <x v="1"/>
    <x v="196"/>
    <x v="374"/>
    <x v="390"/>
    <x v="1"/>
  </r>
  <r>
    <x v="27"/>
    <x v="1"/>
    <x v="390"/>
    <x v="391"/>
    <x v="1"/>
    <x v="378"/>
    <x v="375"/>
    <x v="391"/>
    <x v="5"/>
  </r>
  <r>
    <x v="0"/>
    <x v="15"/>
    <x v="391"/>
    <x v="392"/>
    <x v="20"/>
    <x v="379"/>
    <x v="376"/>
    <x v="392"/>
    <x v="0"/>
  </r>
  <r>
    <x v="28"/>
    <x v="1"/>
    <x v="392"/>
    <x v="393"/>
    <x v="2"/>
    <x v="380"/>
    <x v="377"/>
    <x v="393"/>
    <x v="0"/>
  </r>
  <r>
    <x v="29"/>
    <x v="2"/>
    <x v="393"/>
    <x v="394"/>
    <x v="5"/>
    <x v="381"/>
    <x v="378"/>
    <x v="394"/>
    <x v="0"/>
  </r>
  <r>
    <x v="30"/>
    <x v="2"/>
    <x v="394"/>
    <x v="395"/>
    <x v="5"/>
    <x v="382"/>
    <x v="379"/>
    <x v="395"/>
    <x v="2"/>
  </r>
  <r>
    <x v="27"/>
    <x v="2"/>
    <x v="395"/>
    <x v="396"/>
    <x v="5"/>
    <x v="383"/>
    <x v="380"/>
    <x v="396"/>
    <x v="5"/>
  </r>
  <r>
    <x v="0"/>
    <x v="14"/>
    <x v="396"/>
    <x v="397"/>
    <x v="3"/>
    <x v="384"/>
    <x v="381"/>
    <x v="397"/>
    <x v="0"/>
  </r>
  <r>
    <x v="31"/>
    <x v="2"/>
    <x v="397"/>
    <x v="398"/>
    <x v="5"/>
    <x v="185"/>
    <x v="382"/>
    <x v="398"/>
    <x v="1"/>
  </r>
  <r>
    <x v="32"/>
    <x v="2"/>
    <x v="398"/>
    <x v="399"/>
    <x v="5"/>
    <x v="385"/>
    <x v="383"/>
    <x v="399"/>
    <x v="2"/>
  </r>
  <r>
    <x v="33"/>
    <x v="2"/>
    <x v="399"/>
    <x v="400"/>
    <x v="5"/>
    <x v="386"/>
    <x v="384"/>
    <x v="400"/>
    <x v="1"/>
  </r>
  <r>
    <x v="34"/>
    <x v="2"/>
    <x v="400"/>
    <x v="401"/>
    <x v="5"/>
    <x v="387"/>
    <x v="385"/>
    <x v="401"/>
    <x v="1"/>
  </r>
  <r>
    <x v="29"/>
    <x v="3"/>
    <x v="401"/>
    <x v="402"/>
    <x v="6"/>
    <x v="388"/>
    <x v="386"/>
    <x v="402"/>
    <x v="0"/>
  </r>
  <r>
    <x v="30"/>
    <x v="3"/>
    <x v="402"/>
    <x v="403"/>
    <x v="6"/>
    <x v="389"/>
    <x v="387"/>
    <x v="403"/>
    <x v="2"/>
  </r>
  <r>
    <x v="27"/>
    <x v="3"/>
    <x v="403"/>
    <x v="404"/>
    <x v="6"/>
    <x v="390"/>
    <x v="388"/>
    <x v="404"/>
    <x v="5"/>
  </r>
  <r>
    <x v="31"/>
    <x v="3"/>
    <x v="404"/>
    <x v="405"/>
    <x v="6"/>
    <x v="391"/>
    <x v="389"/>
    <x v="405"/>
    <x v="1"/>
  </r>
  <r>
    <x v="28"/>
    <x v="2"/>
    <x v="405"/>
    <x v="406"/>
    <x v="5"/>
    <x v="392"/>
    <x v="390"/>
    <x v="406"/>
    <x v="0"/>
  </r>
  <r>
    <x v="32"/>
    <x v="3"/>
    <x v="406"/>
    <x v="407"/>
    <x v="6"/>
    <x v="393"/>
    <x v="391"/>
    <x v="407"/>
    <x v="2"/>
  </r>
  <r>
    <x v="33"/>
    <x v="3"/>
    <x v="246"/>
    <x v="408"/>
    <x v="6"/>
    <x v="394"/>
    <x v="392"/>
    <x v="408"/>
    <x v="1"/>
  </r>
  <r>
    <x v="34"/>
    <x v="3"/>
    <x v="407"/>
    <x v="409"/>
    <x v="6"/>
    <x v="395"/>
    <x v="248"/>
    <x v="409"/>
    <x v="1"/>
  </r>
  <r>
    <x v="28"/>
    <x v="3"/>
    <x v="408"/>
    <x v="410"/>
    <x v="6"/>
    <x v="396"/>
    <x v="393"/>
    <x v="410"/>
    <x v="0"/>
  </r>
  <r>
    <x v="29"/>
    <x v="4"/>
    <x v="409"/>
    <x v="411"/>
    <x v="2"/>
    <x v="370"/>
    <x v="394"/>
    <x v="411"/>
    <x v="0"/>
  </r>
  <r>
    <x v="30"/>
    <x v="4"/>
    <x v="410"/>
    <x v="412"/>
    <x v="2"/>
    <x v="397"/>
    <x v="395"/>
    <x v="412"/>
    <x v="2"/>
  </r>
  <r>
    <x v="27"/>
    <x v="4"/>
    <x v="411"/>
    <x v="413"/>
    <x v="2"/>
    <x v="398"/>
    <x v="396"/>
    <x v="413"/>
    <x v="5"/>
  </r>
  <r>
    <x v="31"/>
    <x v="4"/>
    <x v="412"/>
    <x v="414"/>
    <x v="4"/>
    <x v="399"/>
    <x v="397"/>
    <x v="414"/>
    <x v="1"/>
  </r>
  <r>
    <x v="32"/>
    <x v="4"/>
    <x v="413"/>
    <x v="415"/>
    <x v="4"/>
    <x v="400"/>
    <x v="398"/>
    <x v="415"/>
    <x v="2"/>
  </r>
  <r>
    <x v="33"/>
    <x v="4"/>
    <x v="414"/>
    <x v="416"/>
    <x v="4"/>
    <x v="401"/>
    <x v="399"/>
    <x v="416"/>
    <x v="1"/>
  </r>
  <r>
    <x v="34"/>
    <x v="4"/>
    <x v="415"/>
    <x v="417"/>
    <x v="4"/>
    <x v="402"/>
    <x v="400"/>
    <x v="417"/>
    <x v="1"/>
  </r>
  <r>
    <x v="28"/>
    <x v="4"/>
    <x v="416"/>
    <x v="418"/>
    <x v="2"/>
    <x v="403"/>
    <x v="401"/>
    <x v="418"/>
    <x v="0"/>
  </r>
  <r>
    <x v="29"/>
    <x v="5"/>
    <x v="417"/>
    <x v="419"/>
    <x v="8"/>
    <x v="404"/>
    <x v="402"/>
    <x v="419"/>
    <x v="0"/>
  </r>
  <r>
    <x v="30"/>
    <x v="5"/>
    <x v="418"/>
    <x v="420"/>
    <x v="8"/>
    <x v="405"/>
    <x v="403"/>
    <x v="420"/>
    <x v="2"/>
  </r>
  <r>
    <x v="27"/>
    <x v="5"/>
    <x v="419"/>
    <x v="421"/>
    <x v="9"/>
    <x v="406"/>
    <x v="404"/>
    <x v="421"/>
    <x v="5"/>
  </r>
  <r>
    <x v="31"/>
    <x v="5"/>
    <x v="420"/>
    <x v="422"/>
    <x v="8"/>
    <x v="407"/>
    <x v="405"/>
    <x v="422"/>
    <x v="1"/>
  </r>
  <r>
    <x v="32"/>
    <x v="5"/>
    <x v="421"/>
    <x v="423"/>
    <x v="8"/>
    <x v="408"/>
    <x v="406"/>
    <x v="423"/>
    <x v="2"/>
  </r>
  <r>
    <x v="33"/>
    <x v="5"/>
    <x v="422"/>
    <x v="424"/>
    <x v="8"/>
    <x v="409"/>
    <x v="407"/>
    <x v="424"/>
    <x v="1"/>
  </r>
  <r>
    <x v="34"/>
    <x v="5"/>
    <x v="423"/>
    <x v="425"/>
    <x v="8"/>
    <x v="410"/>
    <x v="408"/>
    <x v="425"/>
    <x v="1"/>
  </r>
  <r>
    <x v="29"/>
    <x v="6"/>
    <x v="424"/>
    <x v="426"/>
    <x v="11"/>
    <x v="411"/>
    <x v="409"/>
    <x v="426"/>
    <x v="0"/>
  </r>
  <r>
    <x v="30"/>
    <x v="6"/>
    <x v="425"/>
    <x v="427"/>
    <x v="10"/>
    <x v="412"/>
    <x v="410"/>
    <x v="427"/>
    <x v="2"/>
  </r>
  <r>
    <x v="27"/>
    <x v="6"/>
    <x v="426"/>
    <x v="428"/>
    <x v="23"/>
    <x v="413"/>
    <x v="411"/>
    <x v="428"/>
    <x v="5"/>
  </r>
  <r>
    <x v="31"/>
    <x v="6"/>
    <x v="427"/>
    <x v="429"/>
    <x v="10"/>
    <x v="414"/>
    <x v="412"/>
    <x v="429"/>
    <x v="1"/>
  </r>
  <r>
    <x v="28"/>
    <x v="5"/>
    <x v="428"/>
    <x v="430"/>
    <x v="8"/>
    <x v="415"/>
    <x v="413"/>
    <x v="430"/>
    <x v="0"/>
  </r>
  <r>
    <x v="32"/>
    <x v="6"/>
    <x v="429"/>
    <x v="431"/>
    <x v="10"/>
    <x v="416"/>
    <x v="414"/>
    <x v="431"/>
    <x v="2"/>
  </r>
  <r>
    <x v="33"/>
    <x v="6"/>
    <x v="430"/>
    <x v="432"/>
    <x v="10"/>
    <x v="417"/>
    <x v="415"/>
    <x v="432"/>
    <x v="1"/>
  </r>
  <r>
    <x v="34"/>
    <x v="6"/>
    <x v="431"/>
    <x v="433"/>
    <x v="10"/>
    <x v="418"/>
    <x v="416"/>
    <x v="433"/>
    <x v="1"/>
  </r>
  <r>
    <x v="29"/>
    <x v="7"/>
    <x v="432"/>
    <x v="434"/>
    <x v="12"/>
    <x v="419"/>
    <x v="417"/>
    <x v="434"/>
    <x v="0"/>
  </r>
  <r>
    <x v="30"/>
    <x v="7"/>
    <x v="433"/>
    <x v="435"/>
    <x v="12"/>
    <x v="420"/>
    <x v="418"/>
    <x v="435"/>
    <x v="2"/>
  </r>
  <r>
    <x v="27"/>
    <x v="7"/>
    <x v="434"/>
    <x v="436"/>
    <x v="13"/>
    <x v="421"/>
    <x v="419"/>
    <x v="436"/>
    <x v="5"/>
  </r>
  <r>
    <x v="31"/>
    <x v="7"/>
    <x v="435"/>
    <x v="437"/>
    <x v="12"/>
    <x v="422"/>
    <x v="420"/>
    <x v="437"/>
    <x v="1"/>
  </r>
  <r>
    <x v="28"/>
    <x v="6"/>
    <x v="436"/>
    <x v="438"/>
    <x v="11"/>
    <x v="423"/>
    <x v="421"/>
    <x v="438"/>
    <x v="0"/>
  </r>
  <r>
    <x v="32"/>
    <x v="7"/>
    <x v="437"/>
    <x v="439"/>
    <x v="12"/>
    <x v="424"/>
    <x v="422"/>
    <x v="439"/>
    <x v="2"/>
  </r>
  <r>
    <x v="33"/>
    <x v="7"/>
    <x v="438"/>
    <x v="440"/>
    <x v="12"/>
    <x v="425"/>
    <x v="423"/>
    <x v="440"/>
    <x v="1"/>
  </r>
  <r>
    <x v="34"/>
    <x v="7"/>
    <x v="439"/>
    <x v="441"/>
    <x v="12"/>
    <x v="426"/>
    <x v="424"/>
    <x v="441"/>
    <x v="1"/>
  </r>
  <r>
    <x v="29"/>
    <x v="8"/>
    <x v="440"/>
    <x v="442"/>
    <x v="1"/>
    <x v="427"/>
    <x v="425"/>
    <x v="442"/>
    <x v="0"/>
  </r>
  <r>
    <x v="30"/>
    <x v="8"/>
    <x v="441"/>
    <x v="443"/>
    <x v="1"/>
    <x v="428"/>
    <x v="426"/>
    <x v="443"/>
    <x v="2"/>
  </r>
  <r>
    <x v="27"/>
    <x v="8"/>
    <x v="442"/>
    <x v="444"/>
    <x v="14"/>
    <x v="429"/>
    <x v="427"/>
    <x v="444"/>
    <x v="5"/>
  </r>
  <r>
    <x v="31"/>
    <x v="8"/>
    <x v="443"/>
    <x v="445"/>
    <x v="1"/>
    <x v="430"/>
    <x v="428"/>
    <x v="445"/>
    <x v="1"/>
  </r>
  <r>
    <x v="28"/>
    <x v="7"/>
    <x v="444"/>
    <x v="446"/>
    <x v="13"/>
    <x v="431"/>
    <x v="429"/>
    <x v="446"/>
    <x v="0"/>
  </r>
  <r>
    <x v="32"/>
    <x v="8"/>
    <x v="445"/>
    <x v="447"/>
    <x v="1"/>
    <x v="398"/>
    <x v="3"/>
    <x v="447"/>
    <x v="2"/>
  </r>
  <r>
    <x v="33"/>
    <x v="8"/>
    <x v="446"/>
    <x v="448"/>
    <x v="1"/>
    <x v="432"/>
    <x v="430"/>
    <x v="448"/>
    <x v="1"/>
  </r>
  <r>
    <x v="34"/>
    <x v="8"/>
    <x v="447"/>
    <x v="449"/>
    <x v="1"/>
    <x v="433"/>
    <x v="431"/>
    <x v="449"/>
    <x v="1"/>
  </r>
  <r>
    <x v="28"/>
    <x v="8"/>
    <x v="448"/>
    <x v="450"/>
    <x v="15"/>
    <x v="28"/>
    <x v="432"/>
    <x v="450"/>
    <x v="0"/>
  </r>
  <r>
    <x v="29"/>
    <x v="9"/>
    <x v="449"/>
    <x v="451"/>
    <x v="7"/>
    <x v="434"/>
    <x v="433"/>
    <x v="451"/>
    <x v="0"/>
  </r>
  <r>
    <x v="30"/>
    <x v="9"/>
    <x v="450"/>
    <x v="452"/>
    <x v="7"/>
    <x v="435"/>
    <x v="434"/>
    <x v="452"/>
    <x v="2"/>
  </r>
  <r>
    <x v="27"/>
    <x v="9"/>
    <x v="451"/>
    <x v="453"/>
    <x v="7"/>
    <x v="436"/>
    <x v="435"/>
    <x v="453"/>
    <x v="5"/>
  </r>
  <r>
    <x v="31"/>
    <x v="9"/>
    <x v="452"/>
    <x v="454"/>
    <x v="0"/>
    <x v="246"/>
    <x v="436"/>
    <x v="454"/>
    <x v="1"/>
  </r>
  <r>
    <x v="32"/>
    <x v="9"/>
    <x v="453"/>
    <x v="455"/>
    <x v="16"/>
    <x v="437"/>
    <x v="437"/>
    <x v="455"/>
    <x v="2"/>
  </r>
  <r>
    <x v="33"/>
    <x v="9"/>
    <x v="454"/>
    <x v="456"/>
    <x v="0"/>
    <x v="354"/>
    <x v="438"/>
    <x v="456"/>
    <x v="1"/>
  </r>
  <r>
    <x v="34"/>
    <x v="9"/>
    <x v="455"/>
    <x v="457"/>
    <x v="0"/>
    <x v="438"/>
    <x v="439"/>
    <x v="457"/>
    <x v="1"/>
  </r>
  <r>
    <x v="29"/>
    <x v="10"/>
    <x v="456"/>
    <x v="458"/>
    <x v="0"/>
    <x v="439"/>
    <x v="440"/>
    <x v="458"/>
    <x v="0"/>
  </r>
  <r>
    <x v="30"/>
    <x v="10"/>
    <x v="457"/>
    <x v="459"/>
    <x v="0"/>
    <x v="440"/>
    <x v="441"/>
    <x v="459"/>
    <x v="2"/>
  </r>
  <r>
    <x v="27"/>
    <x v="10"/>
    <x v="458"/>
    <x v="460"/>
    <x v="16"/>
    <x v="441"/>
    <x v="442"/>
    <x v="460"/>
    <x v="5"/>
  </r>
  <r>
    <x v="31"/>
    <x v="10"/>
    <x v="459"/>
    <x v="461"/>
    <x v="0"/>
    <x v="442"/>
    <x v="443"/>
    <x v="461"/>
    <x v="1"/>
  </r>
  <r>
    <x v="28"/>
    <x v="9"/>
    <x v="460"/>
    <x v="462"/>
    <x v="7"/>
    <x v="443"/>
    <x v="444"/>
    <x v="462"/>
    <x v="0"/>
  </r>
  <r>
    <x v="32"/>
    <x v="10"/>
    <x v="461"/>
    <x v="463"/>
    <x v="0"/>
    <x v="444"/>
    <x v="445"/>
    <x v="463"/>
    <x v="2"/>
  </r>
  <r>
    <x v="33"/>
    <x v="10"/>
    <x v="462"/>
    <x v="464"/>
    <x v="0"/>
    <x v="78"/>
    <x v="446"/>
    <x v="464"/>
    <x v="1"/>
  </r>
  <r>
    <x v="34"/>
    <x v="10"/>
    <x v="463"/>
    <x v="465"/>
    <x v="0"/>
    <x v="445"/>
    <x v="447"/>
    <x v="465"/>
    <x v="1"/>
  </r>
  <r>
    <x v="29"/>
    <x v="11"/>
    <x v="464"/>
    <x v="466"/>
    <x v="2"/>
    <x v="446"/>
    <x v="400"/>
    <x v="466"/>
    <x v="0"/>
  </r>
  <r>
    <x v="30"/>
    <x v="11"/>
    <x v="465"/>
    <x v="467"/>
    <x v="4"/>
    <x v="447"/>
    <x v="448"/>
    <x v="467"/>
    <x v="2"/>
  </r>
  <r>
    <x v="27"/>
    <x v="11"/>
    <x v="466"/>
    <x v="468"/>
    <x v="1"/>
    <x v="212"/>
    <x v="449"/>
    <x v="468"/>
    <x v="5"/>
  </r>
  <r>
    <x v="31"/>
    <x v="11"/>
    <x v="467"/>
    <x v="469"/>
    <x v="4"/>
    <x v="448"/>
    <x v="450"/>
    <x v="469"/>
    <x v="1"/>
  </r>
  <r>
    <x v="28"/>
    <x v="10"/>
    <x v="468"/>
    <x v="470"/>
    <x v="16"/>
    <x v="449"/>
    <x v="451"/>
    <x v="470"/>
    <x v="0"/>
  </r>
  <r>
    <x v="32"/>
    <x v="11"/>
    <x v="469"/>
    <x v="471"/>
    <x v="4"/>
    <x v="450"/>
    <x v="452"/>
    <x v="471"/>
    <x v="2"/>
  </r>
  <r>
    <x v="33"/>
    <x v="11"/>
    <x v="470"/>
    <x v="472"/>
    <x v="4"/>
    <x v="451"/>
    <x v="453"/>
    <x v="472"/>
    <x v="1"/>
  </r>
  <r>
    <x v="34"/>
    <x v="11"/>
    <x v="471"/>
    <x v="473"/>
    <x v="4"/>
    <x v="452"/>
    <x v="454"/>
    <x v="473"/>
    <x v="1"/>
  </r>
  <r>
    <x v="28"/>
    <x v="11"/>
    <x v="472"/>
    <x v="474"/>
    <x v="2"/>
    <x v="453"/>
    <x v="455"/>
    <x v="474"/>
    <x v="0"/>
  </r>
  <r>
    <x v="29"/>
    <x v="12"/>
    <x v="473"/>
    <x v="475"/>
    <x v="17"/>
    <x v="454"/>
    <x v="456"/>
    <x v="475"/>
    <x v="0"/>
  </r>
  <r>
    <x v="30"/>
    <x v="12"/>
    <x v="474"/>
    <x v="476"/>
    <x v="18"/>
    <x v="455"/>
    <x v="457"/>
    <x v="476"/>
    <x v="2"/>
  </r>
  <r>
    <x v="27"/>
    <x v="12"/>
    <x v="475"/>
    <x v="477"/>
    <x v="17"/>
    <x v="456"/>
    <x v="458"/>
    <x v="477"/>
    <x v="5"/>
  </r>
  <r>
    <x v="31"/>
    <x v="12"/>
    <x v="476"/>
    <x v="478"/>
    <x v="18"/>
    <x v="457"/>
    <x v="459"/>
    <x v="478"/>
    <x v="1"/>
  </r>
  <r>
    <x v="32"/>
    <x v="12"/>
    <x v="477"/>
    <x v="479"/>
    <x v="18"/>
    <x v="458"/>
    <x v="460"/>
    <x v="479"/>
    <x v="2"/>
  </r>
  <r>
    <x v="33"/>
    <x v="12"/>
    <x v="478"/>
    <x v="480"/>
    <x v="18"/>
    <x v="459"/>
    <x v="461"/>
    <x v="480"/>
    <x v="1"/>
  </r>
  <r>
    <x v="34"/>
    <x v="12"/>
    <x v="479"/>
    <x v="481"/>
    <x v="18"/>
    <x v="460"/>
    <x v="462"/>
    <x v="481"/>
    <x v="1"/>
  </r>
  <r>
    <x v="29"/>
    <x v="13"/>
    <x v="480"/>
    <x v="482"/>
    <x v="19"/>
    <x v="461"/>
    <x v="463"/>
    <x v="482"/>
    <x v="0"/>
  </r>
  <r>
    <x v="30"/>
    <x v="13"/>
    <x v="481"/>
    <x v="483"/>
    <x v="19"/>
    <x v="462"/>
    <x v="464"/>
    <x v="483"/>
    <x v="2"/>
  </r>
  <r>
    <x v="27"/>
    <x v="13"/>
    <x v="482"/>
    <x v="484"/>
    <x v="19"/>
    <x v="463"/>
    <x v="465"/>
    <x v="484"/>
    <x v="5"/>
  </r>
  <r>
    <x v="31"/>
    <x v="13"/>
    <x v="483"/>
    <x v="485"/>
    <x v="19"/>
    <x v="464"/>
    <x v="466"/>
    <x v="485"/>
    <x v="1"/>
  </r>
  <r>
    <x v="28"/>
    <x v="12"/>
    <x v="484"/>
    <x v="486"/>
    <x v="17"/>
    <x v="465"/>
    <x v="467"/>
    <x v="486"/>
    <x v="0"/>
  </r>
  <r>
    <x v="32"/>
    <x v="13"/>
    <x v="485"/>
    <x v="487"/>
    <x v="19"/>
    <x v="466"/>
    <x v="468"/>
    <x v="487"/>
    <x v="2"/>
  </r>
  <r>
    <x v="33"/>
    <x v="13"/>
    <x v="486"/>
    <x v="488"/>
    <x v="19"/>
    <x v="467"/>
    <x v="469"/>
    <x v="488"/>
    <x v="1"/>
  </r>
  <r>
    <x v="34"/>
    <x v="13"/>
    <x v="487"/>
    <x v="489"/>
    <x v="19"/>
    <x v="468"/>
    <x v="470"/>
    <x v="489"/>
    <x v="1"/>
  </r>
  <r>
    <x v="28"/>
    <x v="13"/>
    <x v="488"/>
    <x v="490"/>
    <x v="19"/>
    <x v="469"/>
    <x v="471"/>
    <x v="490"/>
    <x v="0"/>
  </r>
  <r>
    <x v="29"/>
    <x v="15"/>
    <x v="489"/>
    <x v="491"/>
    <x v="20"/>
    <x v="470"/>
    <x v="366"/>
    <x v="491"/>
    <x v="0"/>
  </r>
  <r>
    <x v="30"/>
    <x v="14"/>
    <x v="490"/>
    <x v="492"/>
    <x v="3"/>
    <x v="471"/>
    <x v="387"/>
    <x v="492"/>
    <x v="2"/>
  </r>
  <r>
    <x v="27"/>
    <x v="16"/>
    <x v="491"/>
    <x v="493"/>
    <x v="21"/>
    <x v="247"/>
    <x v="472"/>
    <x v="493"/>
    <x v="5"/>
  </r>
  <r>
    <x v="31"/>
    <x v="14"/>
    <x v="492"/>
    <x v="494"/>
    <x v="0"/>
    <x v="348"/>
    <x v="473"/>
    <x v="494"/>
    <x v="1"/>
  </r>
  <r>
    <x v="32"/>
    <x v="14"/>
    <x v="493"/>
    <x v="495"/>
    <x v="16"/>
    <x v="472"/>
    <x v="474"/>
    <x v="495"/>
    <x v="2"/>
  </r>
  <r>
    <x v="33"/>
    <x v="14"/>
    <x v="494"/>
    <x v="496"/>
    <x v="16"/>
    <x v="473"/>
    <x v="475"/>
    <x v="496"/>
    <x v="1"/>
  </r>
  <r>
    <x v="34"/>
    <x v="14"/>
    <x v="495"/>
    <x v="497"/>
    <x v="16"/>
    <x v="474"/>
    <x v="476"/>
    <x v="497"/>
    <x v="1"/>
  </r>
  <r>
    <x v="29"/>
    <x v="14"/>
    <x v="496"/>
    <x v="498"/>
    <x v="3"/>
    <x v="475"/>
    <x v="451"/>
    <x v="498"/>
    <x v="0"/>
  </r>
  <r>
    <x v="27"/>
    <x v="17"/>
    <x v="497"/>
    <x v="499"/>
    <x v="22"/>
    <x v="476"/>
    <x v="477"/>
    <x v="499"/>
    <x v="5"/>
  </r>
  <r>
    <x v="28"/>
    <x v="15"/>
    <x v="498"/>
    <x v="500"/>
    <x v="20"/>
    <x v="477"/>
    <x v="478"/>
    <x v="500"/>
    <x v="0"/>
  </r>
  <r>
    <x v="27"/>
    <x v="15"/>
    <x v="499"/>
    <x v="501"/>
    <x v="20"/>
    <x v="478"/>
    <x v="479"/>
    <x v="501"/>
    <x v="5"/>
  </r>
  <r>
    <x v="28"/>
    <x v="14"/>
    <x v="500"/>
    <x v="502"/>
    <x v="3"/>
    <x v="479"/>
    <x v="480"/>
    <x v="502"/>
    <x v="0"/>
  </r>
  <r>
    <x v="27"/>
    <x v="14"/>
    <x v="501"/>
    <x v="503"/>
    <x v="3"/>
    <x v="480"/>
    <x v="481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09D17-ECAF-ED45-AF34-DA6003E40644}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rowHeaderCaption="Территория">
  <location ref="A3:C21" firstHeaderRow="0" firstDataRow="1" firstDataCol="1" rowPageCount="1" colPageCount="1"/>
  <pivotFields count="11">
    <pivotField numFmtId="1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/>
    <pivotField dataField="1" numFmtId="2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showAll="0"/>
    <pivotField axis="axisPage" multipleItemSelectionAllowed="1" showAll="0" sortType="descending">
      <items count="7">
        <item x="5"/>
        <item h="1" sd="0" x="0"/>
        <item h="1" sd="0" x="2"/>
        <item h="1" sd="0" x="1"/>
        <item h="1" sd="0" x="3"/>
        <item h="1" sd="0" x="4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8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Товарооборот" fld="3" baseField="0" baseItem="0" numFmtId="2"/>
    <dataField name="Доля от товарооборота" fld="3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C1B69-85B0-2247-8341-6718E5049CED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" rowHeaderCaption="Территория">
  <location ref="K3:L6" firstHeaderRow="1" firstDataRow="1" firstDataCol="1" rowPageCount="1" colPageCount="1"/>
  <pivotFields count="11">
    <pivotField numFmtId="1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measureFilter="1" sortType="descending">
      <items count="19">
        <item x="17"/>
        <item x="15"/>
        <item x="16"/>
        <item x="3"/>
        <item x="5"/>
        <item x="6"/>
        <item x="0"/>
        <item x="10"/>
        <item x="9"/>
        <item x="14"/>
        <item x="4"/>
        <item x="12"/>
        <item x="13"/>
        <item x="11"/>
        <item x="1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/>
    <pivotField showAll="0"/>
    <pivotField showAll="0"/>
    <pivotField dataField="1" showAll="0"/>
    <pivotField axis="axisPage" multipleItemSelectionAllowed="1" showAll="0" sortType="descending">
      <items count="7">
        <item x="5"/>
        <item h="1" sd="0" x="0"/>
        <item h="1" sd="0" x="2"/>
        <item h="1" sd="0" x="1"/>
        <item h="1" sd="0" x="3"/>
        <item h="1" sd="0" x="4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3">
    <i>
      <x v="12"/>
    </i>
    <i>
      <x v="11"/>
    </i>
    <i>
      <x v="5"/>
    </i>
  </rowItems>
  <colItems count="1">
    <i/>
  </colItems>
  <pageFields count="1">
    <pageField fld="8" hier="-1"/>
  </pageFields>
  <dataFields count="1">
    <dataField name="Товарооборот склад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277B-2D18-3E4B-9CEA-03C1BACF4BC6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Номер недели">
  <location ref="F4:G11" firstHeaderRow="1" firstDataRow="1" firstDataCol="1"/>
  <pivotFields count="11">
    <pivotField numFmtId="1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umFmtId="2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numFmtId="2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showAll="0">
      <items count="482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t="default"/>
      </items>
    </pivotField>
    <pivotField showAll="0">
      <items count="483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t="default"/>
      </items>
    </pivotField>
    <pivotField dataField="1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Товарооборот склад" fld="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8A31D-9FFB-5648-B48D-52DB8321072D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 rowHeaderCaption="Номер недели">
  <location ref="A4:B11" firstHeaderRow="1" firstDataRow="1" firstDataCol="1"/>
  <pivotFields count="11">
    <pivotField numFmtId="1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numFmtId="2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dataField="1" numFmtId="2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showAll="0">
      <items count="25">
        <item x="22"/>
        <item x="20"/>
        <item x="21"/>
        <item x="6"/>
        <item x="0"/>
        <item x="16"/>
        <item x="7"/>
        <item x="3"/>
        <item x="4"/>
        <item x="2"/>
        <item x="1"/>
        <item x="15"/>
        <item x="14"/>
        <item x="5"/>
        <item x="12"/>
        <item x="13"/>
        <item x="19"/>
        <item x="17"/>
        <item x="18"/>
        <item x="23"/>
        <item x="11"/>
        <item x="10"/>
        <item x="9"/>
        <item x="8"/>
        <item t="default"/>
      </items>
    </pivotField>
    <pivotField showAll="0">
      <items count="482">
        <item x="476"/>
        <item x="372"/>
        <item x="258"/>
        <item x="245"/>
        <item x="247"/>
        <item x="366"/>
        <item x="243"/>
        <item x="368"/>
        <item x="70"/>
        <item x="470"/>
        <item x="60"/>
        <item x="369"/>
        <item x="0"/>
        <item x="76"/>
        <item x="365"/>
        <item x="249"/>
        <item x="58"/>
        <item x="2"/>
        <item x="72"/>
        <item x="254"/>
        <item x="261"/>
        <item x="1"/>
        <item x="477"/>
        <item x="260"/>
        <item x="391"/>
        <item x="478"/>
        <item x="59"/>
        <item x="66"/>
        <item x="63"/>
        <item x="379"/>
        <item x="367"/>
        <item x="62"/>
        <item x="79"/>
        <item x="350"/>
        <item x="351"/>
        <item x="67"/>
        <item x="356"/>
        <item x="56"/>
        <item x="251"/>
        <item x="68"/>
        <item x="349"/>
        <item x="242"/>
        <item x="248"/>
        <item x="394"/>
        <item x="341"/>
        <item x="78"/>
        <item x="80"/>
        <item x="77"/>
        <item x="57"/>
        <item x="393"/>
        <item x="55"/>
        <item x="348"/>
        <item x="340"/>
        <item x="362"/>
        <item x="64"/>
        <item x="442"/>
        <item x="445"/>
        <item x="61"/>
        <item x="357"/>
        <item x="361"/>
        <item x="259"/>
        <item x="390"/>
        <item x="352"/>
        <item x="444"/>
        <item x="75"/>
        <item x="395"/>
        <item x="65"/>
        <item x="240"/>
        <item x="81"/>
        <item x="221"/>
        <item x="223"/>
        <item x="388"/>
        <item x="54"/>
        <item x="262"/>
        <item x="230"/>
        <item x="232"/>
        <item x="222"/>
        <item x="83"/>
        <item x="360"/>
        <item x="238"/>
        <item x="439"/>
        <item x="246"/>
        <item x="474"/>
        <item x="73"/>
        <item x="473"/>
        <item x="257"/>
        <item x="233"/>
        <item x="255"/>
        <item x="226"/>
        <item x="220"/>
        <item x="355"/>
        <item x="346"/>
        <item x="347"/>
        <item x="472"/>
        <item x="82"/>
        <item x="396"/>
        <item x="280"/>
        <item x="237"/>
        <item x="353"/>
        <item x="354"/>
        <item x="231"/>
        <item x="440"/>
        <item x="364"/>
        <item x="275"/>
        <item x="345"/>
        <item x="229"/>
        <item x="480"/>
        <item x="437"/>
        <item x="241"/>
        <item x="236"/>
        <item x="475"/>
        <item x="389"/>
        <item x="219"/>
        <item x="438"/>
        <item x="449"/>
        <item x="471"/>
        <item x="359"/>
        <item x="225"/>
        <item x="363"/>
        <item x="218"/>
        <item x="479"/>
        <item x="441"/>
        <item x="375"/>
        <item x="384"/>
        <item x="358"/>
        <item x="227"/>
        <item x="277"/>
        <item x="228"/>
        <item x="256"/>
        <item x="217"/>
        <item x="239"/>
        <item x="224"/>
        <item x="235"/>
        <item x="436"/>
        <item x="252"/>
        <item x="434"/>
        <item x="267"/>
        <item x="374"/>
        <item x="89"/>
        <item x="435"/>
        <item x="234"/>
        <item x="443"/>
        <item x="276"/>
        <item x="98"/>
        <item x="95"/>
        <item x="96"/>
        <item x="266"/>
        <item x="91"/>
        <item x="99"/>
        <item x="250"/>
        <item x="278"/>
        <item x="7"/>
        <item x="18"/>
        <item x="103"/>
        <item x="448"/>
        <item x="104"/>
        <item x="88"/>
        <item x="16"/>
        <item x="25"/>
        <item x="284"/>
        <item x="87"/>
        <item x="373"/>
        <item x="270"/>
        <item x="244"/>
        <item x="274"/>
        <item x="193"/>
        <item x="273"/>
        <item x="97"/>
        <item x="451"/>
        <item x="24"/>
        <item x="92"/>
        <item x="271"/>
        <item x="12"/>
        <item x="282"/>
        <item x="401"/>
        <item x="192"/>
        <item x="8"/>
        <item x="253"/>
        <item x="17"/>
        <item x="377"/>
        <item x="9"/>
        <item x="22"/>
        <item x="203"/>
        <item x="6"/>
        <item x="450"/>
        <item x="205"/>
        <item x="209"/>
        <item x="199"/>
        <item x="15"/>
        <item x="452"/>
        <item x="19"/>
        <item x="13"/>
        <item x="265"/>
        <item x="191"/>
        <item x="268"/>
        <item x="272"/>
        <item x="11"/>
        <item x="264"/>
        <item x="376"/>
        <item x="283"/>
        <item x="200"/>
        <item x="102"/>
        <item x="86"/>
        <item x="400"/>
        <item x="447"/>
        <item x="4"/>
        <item x="285"/>
        <item x="85"/>
        <item x="446"/>
        <item x="5"/>
        <item x="290"/>
        <item x="212"/>
        <item x="29"/>
        <item x="94"/>
        <item x="190"/>
        <item x="281"/>
        <item x="430"/>
        <item x="14"/>
        <item x="196"/>
        <item x="402"/>
        <item x="93"/>
        <item x="211"/>
        <item x="269"/>
        <item x="432"/>
        <item x="26"/>
        <item x="101"/>
        <item x="105"/>
        <item x="23"/>
        <item x="378"/>
        <item x="90"/>
        <item x="263"/>
        <item x="10"/>
        <item x="371"/>
        <item x="189"/>
        <item x="288"/>
        <item x="106"/>
        <item x="201"/>
        <item x="453"/>
        <item x="370"/>
        <item x="84"/>
        <item x="21"/>
        <item x="108"/>
        <item x="380"/>
        <item x="210"/>
        <item x="398"/>
        <item x="3"/>
        <item x="289"/>
        <item x="279"/>
        <item x="188"/>
        <item x="403"/>
        <item x="213"/>
        <item x="433"/>
        <item x="100"/>
        <item x="27"/>
        <item x="397"/>
        <item x="208"/>
        <item x="197"/>
        <item x="20"/>
        <item x="198"/>
        <item x="194"/>
        <item x="187"/>
        <item x="427"/>
        <item x="107"/>
        <item x="216"/>
        <item x="206"/>
        <item x="195"/>
        <item x="214"/>
        <item x="399"/>
        <item x="429"/>
        <item x="28"/>
        <item x="215"/>
        <item x="428"/>
        <item x="166"/>
        <item x="422"/>
        <item x="36"/>
        <item x="184"/>
        <item x="425"/>
        <item x="178"/>
        <item x="169"/>
        <item x="164"/>
        <item x="33"/>
        <item x="172"/>
        <item x="51"/>
        <item x="181"/>
        <item x="386"/>
        <item x="46"/>
        <item x="421"/>
        <item x="176"/>
        <item x="167"/>
        <item x="39"/>
        <item x="170"/>
        <item x="185"/>
        <item x="207"/>
        <item x="420"/>
        <item x="426"/>
        <item x="424"/>
        <item x="52"/>
        <item x="186"/>
        <item x="162"/>
        <item x="173"/>
        <item x="165"/>
        <item x="419"/>
        <item x="174"/>
        <item x="34"/>
        <item x="53"/>
        <item x="161"/>
        <item x="49"/>
        <item x="182"/>
        <item x="45"/>
        <item x="385"/>
        <item x="387"/>
        <item x="42"/>
        <item x="32"/>
        <item x="40"/>
        <item x="48"/>
        <item x="202"/>
        <item x="44"/>
        <item x="160"/>
        <item x="381"/>
        <item x="74"/>
        <item x="35"/>
        <item x="31"/>
        <item x="163"/>
        <item x="168"/>
        <item x="43"/>
        <item x="383"/>
        <item x="37"/>
        <item x="50"/>
        <item x="30"/>
        <item x="179"/>
        <item x="431"/>
        <item x="41"/>
        <item x="183"/>
        <item x="392"/>
        <item x="69"/>
        <item x="171"/>
        <item x="382"/>
        <item x="38"/>
        <item x="47"/>
        <item x="204"/>
        <item x="71"/>
        <item x="464"/>
        <item x="457"/>
        <item x="317"/>
        <item x="467"/>
        <item x="318"/>
        <item x="327"/>
        <item x="323"/>
        <item x="320"/>
        <item x="293"/>
        <item x="463"/>
        <item x="459"/>
        <item x="300"/>
        <item x="305"/>
        <item x="466"/>
        <item x="294"/>
        <item x="339"/>
        <item x="456"/>
        <item x="304"/>
        <item x="334"/>
        <item x="344"/>
        <item x="297"/>
        <item x="458"/>
        <item x="338"/>
        <item x="296"/>
        <item x="326"/>
        <item x="468"/>
        <item x="335"/>
        <item x="314"/>
        <item x="333"/>
        <item x="287"/>
        <item x="309"/>
        <item x="462"/>
        <item x="316"/>
        <item x="461"/>
        <item x="342"/>
        <item x="315"/>
        <item x="286"/>
        <item x="324"/>
        <item x="310"/>
        <item x="325"/>
        <item x="331"/>
        <item x="303"/>
        <item x="313"/>
        <item x="460"/>
        <item x="337"/>
        <item x="319"/>
        <item x="328"/>
        <item x="302"/>
        <item x="336"/>
        <item x="292"/>
        <item x="454"/>
        <item x="301"/>
        <item x="115"/>
        <item x="469"/>
        <item x="407"/>
        <item x="291"/>
        <item x="455"/>
        <item x="312"/>
        <item x="307"/>
        <item x="322"/>
        <item x="295"/>
        <item x="321"/>
        <item x="465"/>
        <item x="311"/>
        <item x="131"/>
        <item x="343"/>
        <item x="329"/>
        <item x="330"/>
        <item x="299"/>
        <item x="306"/>
        <item x="123"/>
        <item x="298"/>
        <item x="121"/>
        <item x="111"/>
        <item x="124"/>
        <item x="409"/>
        <item x="127"/>
        <item x="408"/>
        <item x="110"/>
        <item x="332"/>
        <item x="406"/>
        <item x="119"/>
        <item x="125"/>
        <item x="118"/>
        <item x="112"/>
        <item x="132"/>
        <item x="129"/>
        <item x="122"/>
        <item x="153"/>
        <item x="116"/>
        <item x="113"/>
        <item x="139"/>
        <item x="117"/>
        <item x="405"/>
        <item x="120"/>
        <item x="404"/>
        <item x="148"/>
        <item x="308"/>
        <item x="114"/>
        <item x="410"/>
        <item x="109"/>
        <item x="158"/>
        <item x="128"/>
        <item x="414"/>
        <item x="149"/>
        <item x="145"/>
        <item x="126"/>
        <item x="147"/>
        <item x="135"/>
        <item x="136"/>
        <item x="151"/>
        <item x="150"/>
        <item x="417"/>
        <item x="413"/>
        <item x="154"/>
        <item x="156"/>
        <item x="416"/>
        <item x="130"/>
        <item x="137"/>
        <item x="141"/>
        <item x="134"/>
        <item x="180"/>
        <item x="143"/>
        <item x="146"/>
        <item x="159"/>
        <item x="142"/>
        <item x="140"/>
        <item x="411"/>
        <item x="175"/>
        <item x="412"/>
        <item x="144"/>
        <item x="418"/>
        <item x="138"/>
        <item x="133"/>
        <item x="155"/>
        <item x="415"/>
        <item x="177"/>
        <item x="152"/>
        <item x="157"/>
        <item x="423"/>
        <item t="default"/>
      </items>
    </pivotField>
    <pivotField showAll="0">
      <items count="483">
        <item x="477"/>
        <item x="370"/>
        <item x="260"/>
        <item x="244"/>
        <item x="472"/>
        <item x="246"/>
        <item x="364"/>
        <item x="242"/>
        <item x="366"/>
        <item x="70"/>
        <item x="60"/>
        <item x="367"/>
        <item x="0"/>
        <item x="363"/>
        <item x="75"/>
        <item x="250"/>
        <item x="254"/>
        <item x="256"/>
        <item x="2"/>
        <item x="58"/>
        <item x="263"/>
        <item x="1"/>
        <item x="478"/>
        <item x="262"/>
        <item x="479"/>
        <item x="389"/>
        <item x="59"/>
        <item x="66"/>
        <item x="376"/>
        <item x="63"/>
        <item x="365"/>
        <item x="62"/>
        <item x="78"/>
        <item x="349"/>
        <item x="356"/>
        <item x="67"/>
        <item x="56"/>
        <item x="252"/>
        <item x="68"/>
        <item x="241"/>
        <item x="247"/>
        <item x="392"/>
        <item x="77"/>
        <item x="446"/>
        <item x="359"/>
        <item x="76"/>
        <item x="79"/>
        <item x="57"/>
        <item x="473"/>
        <item x="391"/>
        <item x="55"/>
        <item x="348"/>
        <item x="341"/>
        <item x="443"/>
        <item x="64"/>
        <item x="447"/>
        <item x="61"/>
        <item x="261"/>
        <item x="360"/>
        <item x="357"/>
        <item x="350"/>
        <item x="388"/>
        <item x="445"/>
        <item x="74"/>
        <item x="220"/>
        <item x="222"/>
        <item x="248"/>
        <item x="65"/>
        <item x="80"/>
        <item x="354"/>
        <item x="351"/>
        <item x="386"/>
        <item x="249"/>
        <item x="54"/>
        <item x="264"/>
        <item x="229"/>
        <item x="235"/>
        <item x="221"/>
        <item x="231"/>
        <item x="82"/>
        <item x="440"/>
        <item x="238"/>
        <item x="245"/>
        <item x="436"/>
        <item x="476"/>
        <item x="257"/>
        <item x="232"/>
        <item x="72"/>
        <item x="475"/>
        <item x="259"/>
        <item x="219"/>
        <item x="225"/>
        <item x="347"/>
        <item x="355"/>
        <item x="346"/>
        <item x="281"/>
        <item x="81"/>
        <item x="474"/>
        <item x="237"/>
        <item x="393"/>
        <item x="438"/>
        <item x="352"/>
        <item x="441"/>
        <item x="353"/>
        <item x="230"/>
        <item x="276"/>
        <item x="362"/>
        <item x="437"/>
        <item x="345"/>
        <item x="228"/>
        <item x="481"/>
        <item x="240"/>
        <item x="236"/>
        <item x="218"/>
        <item x="451"/>
        <item x="387"/>
        <item x="439"/>
        <item x="358"/>
        <item x="224"/>
        <item x="480"/>
        <item x="442"/>
        <item x="217"/>
        <item x="361"/>
        <item x="372"/>
        <item x="278"/>
        <item x="381"/>
        <item x="226"/>
        <item x="227"/>
        <item x="258"/>
        <item x="216"/>
        <item x="239"/>
        <item x="223"/>
        <item x="234"/>
        <item x="435"/>
        <item x="89"/>
        <item x="253"/>
        <item x="433"/>
        <item x="269"/>
        <item x="371"/>
        <item x="434"/>
        <item x="444"/>
        <item x="233"/>
        <item x="277"/>
        <item x="98"/>
        <item x="95"/>
        <item x="96"/>
        <item x="91"/>
        <item x="102"/>
        <item x="99"/>
        <item x="105"/>
        <item x="104"/>
        <item x="268"/>
        <item x="251"/>
        <item x="88"/>
        <item x="7"/>
        <item x="18"/>
        <item x="279"/>
        <item x="285"/>
        <item x="450"/>
        <item x="87"/>
        <item x="16"/>
        <item x="25"/>
        <item x="267"/>
        <item x="286"/>
        <item x="97"/>
        <item x="275"/>
        <item x="243"/>
        <item x="271"/>
        <item x="192"/>
        <item x="92"/>
        <item x="399"/>
        <item x="274"/>
        <item x="453"/>
        <item x="24"/>
        <item x="255"/>
        <item x="272"/>
        <item x="283"/>
        <item x="12"/>
        <item x="8"/>
        <item x="9"/>
        <item x="373"/>
        <item x="22"/>
        <item x="17"/>
        <item x="202"/>
        <item x="6"/>
        <item x="204"/>
        <item x="208"/>
        <item x="198"/>
        <item x="452"/>
        <item x="15"/>
        <item x="454"/>
        <item x="13"/>
        <item x="19"/>
        <item x="11"/>
        <item x="86"/>
        <item x="191"/>
        <item x="398"/>
        <item x="103"/>
        <item x="270"/>
        <item x="85"/>
        <item x="266"/>
        <item x="273"/>
        <item x="284"/>
        <item x="199"/>
        <item x="94"/>
        <item x="211"/>
        <item x="448"/>
        <item x="292"/>
        <item x="4"/>
        <item x="5"/>
        <item x="287"/>
        <item x="190"/>
        <item x="400"/>
        <item x="449"/>
        <item x="93"/>
        <item x="428"/>
        <item x="29"/>
        <item x="282"/>
        <item x="374"/>
        <item x="195"/>
        <item x="210"/>
        <item x="14"/>
        <item x="90"/>
        <item x="101"/>
        <item x="430"/>
        <item x="84"/>
        <item x="106"/>
        <item x="107"/>
        <item x="26"/>
        <item x="83"/>
        <item x="23"/>
        <item x="109"/>
        <item x="375"/>
        <item x="369"/>
        <item x="394"/>
        <item x="10"/>
        <item x="265"/>
        <item x="200"/>
        <item x="290"/>
        <item x="189"/>
        <item x="368"/>
        <item x="455"/>
        <item x="396"/>
        <item x="21"/>
        <item x="377"/>
        <item x="209"/>
        <item x="3"/>
        <item x="291"/>
        <item x="100"/>
        <item x="280"/>
        <item x="401"/>
        <item x="431"/>
        <item x="188"/>
        <item x="395"/>
        <item x="212"/>
        <item x="27"/>
        <item x="196"/>
        <item x="207"/>
        <item x="20"/>
        <item x="108"/>
        <item x="197"/>
        <item x="187"/>
        <item x="193"/>
        <item x="425"/>
        <item x="194"/>
        <item x="205"/>
        <item x="215"/>
        <item x="397"/>
        <item x="213"/>
        <item x="427"/>
        <item x="28"/>
        <item x="432"/>
        <item x="214"/>
        <item x="426"/>
        <item x="166"/>
        <item x="36"/>
        <item x="420"/>
        <item x="184"/>
        <item x="423"/>
        <item x="178"/>
        <item x="169"/>
        <item x="164"/>
        <item x="172"/>
        <item x="33"/>
        <item x="51"/>
        <item x="181"/>
        <item x="46"/>
        <item x="419"/>
        <item x="176"/>
        <item x="384"/>
        <item x="167"/>
        <item x="185"/>
        <item x="170"/>
        <item x="418"/>
        <item x="39"/>
        <item x="206"/>
        <item x="424"/>
        <item x="382"/>
        <item x="422"/>
        <item x="52"/>
        <item x="162"/>
        <item x="173"/>
        <item x="165"/>
        <item x="186"/>
        <item x="174"/>
        <item x="417"/>
        <item x="34"/>
        <item x="53"/>
        <item x="182"/>
        <item x="161"/>
        <item x="49"/>
        <item x="45"/>
        <item x="385"/>
        <item x="42"/>
        <item x="383"/>
        <item x="48"/>
        <item x="32"/>
        <item x="201"/>
        <item x="44"/>
        <item x="160"/>
        <item x="40"/>
        <item x="168"/>
        <item x="163"/>
        <item x="73"/>
        <item x="378"/>
        <item x="35"/>
        <item x="31"/>
        <item x="380"/>
        <item x="50"/>
        <item x="43"/>
        <item x="37"/>
        <item x="30"/>
        <item x="429"/>
        <item x="179"/>
        <item x="41"/>
        <item x="183"/>
        <item x="390"/>
        <item x="69"/>
        <item x="171"/>
        <item x="379"/>
        <item x="38"/>
        <item x="47"/>
        <item x="203"/>
        <item x="71"/>
        <item x="466"/>
        <item x="459"/>
        <item x="318"/>
        <item x="319"/>
        <item x="469"/>
        <item x="321"/>
        <item x="328"/>
        <item x="324"/>
        <item x="295"/>
        <item x="465"/>
        <item x="296"/>
        <item x="461"/>
        <item x="302"/>
        <item x="307"/>
        <item x="468"/>
        <item x="340"/>
        <item x="458"/>
        <item x="299"/>
        <item x="335"/>
        <item x="306"/>
        <item x="344"/>
        <item x="460"/>
        <item x="339"/>
        <item x="336"/>
        <item x="298"/>
        <item x="327"/>
        <item x="315"/>
        <item x="470"/>
        <item x="334"/>
        <item x="310"/>
        <item x="289"/>
        <item x="464"/>
        <item x="342"/>
        <item x="463"/>
        <item x="317"/>
        <item x="288"/>
        <item x="311"/>
        <item x="316"/>
        <item x="325"/>
        <item x="326"/>
        <item x="305"/>
        <item x="314"/>
        <item x="332"/>
        <item x="338"/>
        <item x="462"/>
        <item x="329"/>
        <item x="320"/>
        <item x="304"/>
        <item x="337"/>
        <item x="116"/>
        <item x="471"/>
        <item x="456"/>
        <item x="294"/>
        <item x="303"/>
        <item x="323"/>
        <item x="457"/>
        <item x="313"/>
        <item x="293"/>
        <item x="405"/>
        <item x="467"/>
        <item x="297"/>
        <item x="322"/>
        <item x="131"/>
        <item x="343"/>
        <item x="312"/>
        <item x="330"/>
        <item x="301"/>
        <item x="331"/>
        <item x="308"/>
        <item x="300"/>
        <item x="124"/>
        <item x="122"/>
        <item x="125"/>
        <item x="112"/>
        <item x="407"/>
        <item x="128"/>
        <item x="406"/>
        <item x="333"/>
        <item x="111"/>
        <item x="404"/>
        <item x="113"/>
        <item x="126"/>
        <item x="120"/>
        <item x="129"/>
        <item x="153"/>
        <item x="114"/>
        <item x="123"/>
        <item x="119"/>
        <item x="132"/>
        <item x="117"/>
        <item x="118"/>
        <item x="139"/>
        <item x="403"/>
        <item x="121"/>
        <item x="402"/>
        <item x="309"/>
        <item x="148"/>
        <item x="115"/>
        <item x="408"/>
        <item x="110"/>
        <item x="158"/>
        <item x="412"/>
        <item x="149"/>
        <item x="145"/>
        <item x="127"/>
        <item x="147"/>
        <item x="136"/>
        <item x="151"/>
        <item x="150"/>
        <item x="135"/>
        <item x="415"/>
        <item x="141"/>
        <item x="130"/>
        <item x="156"/>
        <item x="154"/>
        <item x="411"/>
        <item x="137"/>
        <item x="414"/>
        <item x="134"/>
        <item x="180"/>
        <item x="143"/>
        <item x="146"/>
        <item x="159"/>
        <item x="142"/>
        <item x="140"/>
        <item x="410"/>
        <item x="175"/>
        <item x="409"/>
        <item x="144"/>
        <item x="138"/>
        <item x="416"/>
        <item x="155"/>
        <item x="133"/>
        <item x="413"/>
        <item x="177"/>
        <item x="152"/>
        <item x="157"/>
        <item x="421"/>
        <item t="default"/>
      </items>
    </pivotField>
    <pivotField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Товарооборот" fld="3" baseField="0" baseItem="0" numFmtId="2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K9" sqref="K9"/>
    </sheetView>
  </sheetViews>
  <sheetFormatPr baseColWidth="10" defaultColWidth="14.5" defaultRowHeight="15" customHeight="1" x14ac:dyDescent="0.2"/>
  <cols>
    <col min="1" max="1" width="10.5" style="12" customWidth="1"/>
    <col min="2" max="2" width="21.6640625" customWidth="1"/>
    <col min="3" max="3" width="22" style="19" customWidth="1"/>
    <col min="4" max="4" width="20.33203125" style="19" customWidth="1"/>
    <col min="5" max="7" width="22" customWidth="1"/>
    <col min="8" max="8" width="23.5" customWidth="1"/>
    <col min="9" max="9" width="16.83203125" customWidth="1"/>
    <col min="10" max="10" width="8.6640625" customWidth="1"/>
    <col min="11" max="11" width="25.1640625" customWidth="1"/>
    <col min="12" max="12" width="12.1640625" bestFit="1" customWidth="1"/>
    <col min="13" max="24" width="8.6640625" customWidth="1"/>
  </cols>
  <sheetData>
    <row r="1" spans="1:24" ht="14.25" customHeight="1" x14ac:dyDescent="0.2">
      <c r="A1" s="8" t="s">
        <v>0</v>
      </c>
      <c r="B1" s="1" t="s">
        <v>1</v>
      </c>
      <c r="C1" s="15" t="s">
        <v>2</v>
      </c>
      <c r="D1" s="1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5" t="s">
        <v>36</v>
      </c>
      <c r="L1" s="36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4.25" customHeight="1" x14ac:dyDescent="0.2">
      <c r="A2" s="9">
        <v>43982</v>
      </c>
      <c r="B2" s="4" t="s">
        <v>9</v>
      </c>
      <c r="C2" s="16">
        <v>7944</v>
      </c>
      <c r="D2" s="16">
        <v>623971.5</v>
      </c>
      <c r="E2" s="5">
        <f>SUMIFS(Лист2!$C$2:$C$505,Лист2!$A$2:$A$505, Лист1!A2,Лист2!$B$2:$B$505,Лист1!B2)</f>
        <v>15</v>
      </c>
      <c r="F2" s="5">
        <f>SUMIFS(Лист2!$D$2:$D$505,Лист2!$A$2:$A$505, Лист1!A2,Лист2!$B$2:$B$505,Лист1!B2)</f>
        <v>441</v>
      </c>
      <c r="G2" s="5">
        <f>SUMIFS(Лист2!$E$2:$E$505,Лист2!$A$2:$A$505, Лист1!A2,Лист2!$B$2:$B$505,Лист1!B2)</f>
        <v>368</v>
      </c>
      <c r="H2">
        <f t="shared" ref="H2:H65" si="0">D2 / E2</f>
        <v>41598.1</v>
      </c>
      <c r="I2">
        <f>WEEKNUM(A2,2)</f>
        <v>22</v>
      </c>
      <c r="K2" s="37"/>
      <c r="L2" s="38"/>
    </row>
    <row r="3" spans="1:24" ht="14.25" customHeight="1" x14ac:dyDescent="0.2">
      <c r="A3" s="10">
        <v>43981</v>
      </c>
      <c r="B3" s="6" t="s">
        <v>9</v>
      </c>
      <c r="C3" s="17">
        <v>10029</v>
      </c>
      <c r="D3" s="17">
        <v>787101</v>
      </c>
      <c r="E3" s="5">
        <f>SUMIFS(Лист2!$C$2:$C$505,Лист2!$A$2:$A$505, Лист1!A3,Лист2!$B$2:$B$505,Лист1!B3)</f>
        <v>15</v>
      </c>
      <c r="F3" s="5">
        <f>SUMIFS(Лист2!$D$2:$D$505,Лист2!$A$2:$A$505, Лист1!A3,Лист2!$B$2:$B$505,Лист1!B3)</f>
        <v>490</v>
      </c>
      <c r="G3" s="5">
        <f>SUMIFS(Лист2!$E$2:$E$505,Лист2!$A$2:$A$505, Лист1!A3,Лист2!$B$2:$B$505,Лист1!B3)</f>
        <v>409</v>
      </c>
      <c r="H3">
        <f t="shared" si="0"/>
        <v>52473.4</v>
      </c>
      <c r="I3">
        <f t="shared" ref="I3:I66" si="1">WEEKNUM(A3,2)</f>
        <v>22</v>
      </c>
      <c r="K3" s="37"/>
      <c r="L3" s="38"/>
    </row>
    <row r="4" spans="1:24" ht="14.25" customHeight="1" x14ac:dyDescent="0.2">
      <c r="A4" s="9">
        <v>43979</v>
      </c>
      <c r="B4" s="4" t="s">
        <v>9</v>
      </c>
      <c r="C4" s="16">
        <v>8536.5</v>
      </c>
      <c r="D4" s="16">
        <v>643944</v>
      </c>
      <c r="E4" s="5">
        <f>SUMIFS(Лист2!$C$2:$C$505,Лист2!$A$2:$A$505, Лист1!A4,Лист2!$B$2:$B$505,Лист1!B4)</f>
        <v>15</v>
      </c>
      <c r="F4" s="5">
        <f>SUMIFS(Лист2!$D$2:$D$505,Лист2!$A$2:$A$505, Лист1!A4,Лист2!$B$2:$B$505,Лист1!B4)</f>
        <v>464</v>
      </c>
      <c r="G4" s="5">
        <f>SUMIFS(Лист2!$E$2:$E$505,Лист2!$A$2:$A$505, Лист1!A4,Лист2!$B$2:$B$505,Лист1!B4)</f>
        <v>390</v>
      </c>
      <c r="H4">
        <f t="shared" si="0"/>
        <v>42929.599999999999</v>
      </c>
      <c r="I4">
        <f t="shared" si="1"/>
        <v>22</v>
      </c>
      <c r="K4" s="37"/>
      <c r="L4" s="38"/>
    </row>
    <row r="5" spans="1:24" ht="14.25" customHeight="1" x14ac:dyDescent="0.2">
      <c r="A5" s="10">
        <v>43967</v>
      </c>
      <c r="B5" s="6" t="s">
        <v>10</v>
      </c>
      <c r="C5" s="17">
        <v>38947.5</v>
      </c>
      <c r="D5" s="17">
        <v>3395892</v>
      </c>
      <c r="E5" s="5">
        <f>SUMIFS(Лист2!$C$2:$C$505,Лист2!$A$2:$A$505, Лист1!A5,Лист2!$B$2:$B$505,Лист1!B5)</f>
        <v>21</v>
      </c>
      <c r="F5" s="5">
        <f>SUMIFS(Лист2!$D$2:$D$505,Лист2!$A$2:$A$505, Лист1!A5,Лист2!$B$2:$B$505,Лист1!B5)</f>
        <v>2145</v>
      </c>
      <c r="G5" s="5">
        <f>SUMIFS(Лист2!$E$2:$E$505,Лист2!$A$2:$A$505, Лист1!A5,Лист2!$B$2:$B$505,Лист1!B5)</f>
        <v>1947</v>
      </c>
      <c r="H5">
        <f t="shared" si="0"/>
        <v>161709.14285714287</v>
      </c>
      <c r="I5">
        <f t="shared" si="1"/>
        <v>20</v>
      </c>
      <c r="K5" s="37"/>
      <c r="L5" s="38"/>
    </row>
    <row r="6" spans="1:24" ht="14.25" customHeight="1" x14ac:dyDescent="0.2">
      <c r="A6" s="9">
        <v>43970</v>
      </c>
      <c r="B6" s="4" t="s">
        <v>10</v>
      </c>
      <c r="C6" s="16">
        <v>31842</v>
      </c>
      <c r="D6" s="16">
        <v>2771116.5</v>
      </c>
      <c r="E6" s="5">
        <f>SUMIFS(Лист2!$C$2:$C$505,Лист2!$A$2:$A$505, Лист1!A6,Лист2!$B$2:$B$505,Лист1!B6)</f>
        <v>21</v>
      </c>
      <c r="F6" s="5">
        <f>SUMIFS(Лист2!$D$2:$D$505,Лист2!$A$2:$A$505, Лист1!A6,Лист2!$B$2:$B$505,Лист1!B6)</f>
        <v>1860</v>
      </c>
      <c r="G6" s="5">
        <f>SUMIFS(Лист2!$E$2:$E$505,Лист2!$A$2:$A$505, Лист1!A6,Лист2!$B$2:$B$505,Лист1!B6)</f>
        <v>1704</v>
      </c>
      <c r="H6">
        <f t="shared" si="0"/>
        <v>131957.92857142858</v>
      </c>
      <c r="I6">
        <f t="shared" si="1"/>
        <v>21</v>
      </c>
      <c r="K6" s="37"/>
      <c r="L6" s="38"/>
    </row>
    <row r="7" spans="1:24" ht="14.25" customHeight="1" x14ac:dyDescent="0.2">
      <c r="A7" s="10">
        <v>43968</v>
      </c>
      <c r="B7" s="6" t="s">
        <v>10</v>
      </c>
      <c r="C7" s="17">
        <v>32023.5</v>
      </c>
      <c r="D7" s="17">
        <v>2882458.5</v>
      </c>
      <c r="E7" s="5">
        <f>SUMIFS(Лист2!$C$2:$C$505,Лист2!$A$2:$A$505, Лист1!A7,Лист2!$B$2:$B$505,Лист1!B7)</f>
        <v>21</v>
      </c>
      <c r="F7" s="5">
        <f>SUMIFS(Лист2!$D$2:$D$505,Лист2!$A$2:$A$505, Лист1!A7,Лист2!$B$2:$B$505,Лист1!B7)</f>
        <v>1874</v>
      </c>
      <c r="G7" s="5">
        <f>SUMIFS(Лист2!$E$2:$E$505,Лист2!$A$2:$A$505, Лист1!A7,Лист2!$B$2:$B$505,Лист1!B7)</f>
        <v>1705</v>
      </c>
      <c r="H7">
        <f t="shared" si="0"/>
        <v>137259.92857142858</v>
      </c>
      <c r="I7">
        <f t="shared" si="1"/>
        <v>20</v>
      </c>
      <c r="K7" s="37"/>
      <c r="L7" s="38"/>
    </row>
    <row r="8" spans="1:24" ht="14.25" customHeight="1" x14ac:dyDescent="0.2">
      <c r="A8" s="9">
        <v>43960</v>
      </c>
      <c r="B8" s="4" t="s">
        <v>10</v>
      </c>
      <c r="C8" s="16">
        <v>31147.5</v>
      </c>
      <c r="D8" s="16">
        <v>2831019</v>
      </c>
      <c r="E8" s="5">
        <f>SUMIFS(Лист2!$C$2:$C$505,Лист2!$A$2:$A$505, Лист1!A8,Лист2!$B$2:$B$505,Лист1!B8)</f>
        <v>21</v>
      </c>
      <c r="F8" s="5">
        <f>SUMIFS(Лист2!$D$2:$D$505,Лист2!$A$2:$A$505, Лист1!A8,Лист2!$B$2:$B$505,Лист1!B8)</f>
        <v>1735</v>
      </c>
      <c r="G8" s="5">
        <f>SUMIFS(Лист2!$E$2:$E$505,Лист2!$A$2:$A$505, Лист1!A8,Лист2!$B$2:$B$505,Лист1!B8)</f>
        <v>1568</v>
      </c>
      <c r="H8">
        <f t="shared" si="0"/>
        <v>134810.42857142858</v>
      </c>
      <c r="I8">
        <f t="shared" si="1"/>
        <v>19</v>
      </c>
      <c r="K8" s="39"/>
      <c r="L8" s="40"/>
    </row>
    <row r="9" spans="1:24" ht="14.25" customHeight="1" x14ac:dyDescent="0.2">
      <c r="A9" s="10">
        <v>43955</v>
      </c>
      <c r="B9" s="6" t="s">
        <v>10</v>
      </c>
      <c r="C9" s="17">
        <v>25566</v>
      </c>
      <c r="D9" s="17">
        <v>2372310</v>
      </c>
      <c r="E9" s="5">
        <f>SUMIFS(Лист2!$C$2:$C$505,Лист2!$A$2:$A$505, Лист1!A9,Лист2!$B$2:$B$505,Лист1!B9)</f>
        <v>20</v>
      </c>
      <c r="F9" s="5">
        <f>SUMIFS(Лист2!$D$2:$D$505,Лист2!$A$2:$A$505, Лист1!A9,Лист2!$B$2:$B$505,Лист1!B9)</f>
        <v>1519</v>
      </c>
      <c r="G9" s="5">
        <f>SUMIFS(Лист2!$E$2:$E$505,Лист2!$A$2:$A$505, Лист1!A9,Лист2!$B$2:$B$505,Лист1!B9)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2">
      <c r="A10" s="9">
        <v>43950</v>
      </c>
      <c r="B10" s="4" t="s">
        <v>10</v>
      </c>
      <c r="C10" s="16">
        <v>29319</v>
      </c>
      <c r="D10" s="16">
        <v>2623480.5</v>
      </c>
      <c r="E10" s="5">
        <f>SUMIFS(Лист2!$C$2:$C$505,Лист2!$A$2:$A$505, Лист1!A10,Лист2!$B$2:$B$505,Лист1!B10)</f>
        <v>18</v>
      </c>
      <c r="F10" s="5">
        <f>SUMIFS(Лист2!$D$2:$D$505,Лист2!$A$2:$A$505, Лист1!A10,Лист2!$B$2:$B$505,Лист1!B10)</f>
        <v>1684</v>
      </c>
      <c r="G10" s="5">
        <f>SUMIFS(Лист2!$E$2:$E$505,Лист2!$A$2:$A$505, Лист1!A10,Лист2!$B$2:$B$505,Лист1!B10)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2">
      <c r="A11" s="10">
        <v>43953</v>
      </c>
      <c r="B11" s="6" t="s">
        <v>10</v>
      </c>
      <c r="C11" s="17">
        <v>29031</v>
      </c>
      <c r="D11" s="17">
        <v>2711247</v>
      </c>
      <c r="E11" s="5">
        <f>SUMIFS(Лист2!$C$2:$C$505,Лист2!$A$2:$A$505, Лист1!A11,Лист2!$B$2:$B$505,Лист1!B11)</f>
        <v>18</v>
      </c>
      <c r="F11" s="5">
        <f>SUMIFS(Лист2!$D$2:$D$505,Лист2!$A$2:$A$505, Лист1!A11,Лист2!$B$2:$B$505,Лист1!B11)</f>
        <v>1708</v>
      </c>
      <c r="G11" s="5">
        <f>SUMIFS(Лист2!$E$2:$E$505,Лист2!$A$2:$A$505, Лист1!A11,Лист2!$B$2:$B$505,Лист1!B11)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2">
      <c r="A12" s="9">
        <v>43977</v>
      </c>
      <c r="B12" s="4" t="s">
        <v>10</v>
      </c>
      <c r="C12" s="16">
        <v>33423</v>
      </c>
      <c r="D12" s="16">
        <v>2970330</v>
      </c>
      <c r="E12" s="5">
        <f>SUMIFS(Лист2!$C$2:$C$505,Лист2!$A$2:$A$505, Лист1!A12,Лист2!$B$2:$B$505,Лист1!B12)</f>
        <v>20</v>
      </c>
      <c r="F12" s="5">
        <f>SUMIFS(Лист2!$D$2:$D$505,Лист2!$A$2:$A$505, Лист1!A12,Лист2!$B$2:$B$505,Лист1!B12)</f>
        <v>2044</v>
      </c>
      <c r="G12" s="5">
        <f>SUMIFS(Лист2!$E$2:$E$505,Лист2!$A$2:$A$505, Лист1!A12,Лист2!$B$2:$B$505,Лист1!B12)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2">
      <c r="A13" s="10">
        <v>43952</v>
      </c>
      <c r="B13" s="6" t="s">
        <v>10</v>
      </c>
      <c r="C13" s="17">
        <v>32487</v>
      </c>
      <c r="D13" s="17">
        <v>3031254</v>
      </c>
      <c r="E13" s="5">
        <f>SUMIFS(Лист2!$C$2:$C$505,Лист2!$A$2:$A$505, Лист1!A13,Лист2!$B$2:$B$505,Лист1!B13)</f>
        <v>18</v>
      </c>
      <c r="F13" s="5">
        <f>SUMIFS(Лист2!$D$2:$D$505,Лист2!$A$2:$A$505, Лист1!A13,Лист2!$B$2:$B$505,Лист1!B13)</f>
        <v>1826</v>
      </c>
      <c r="G13" s="5">
        <f>SUMIFS(Лист2!$E$2:$E$505,Лист2!$A$2:$A$505, Лист1!A13,Лист2!$B$2:$B$505,Лист1!B13)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2">
      <c r="A14" s="9">
        <v>43963</v>
      </c>
      <c r="B14" s="4" t="s">
        <v>10</v>
      </c>
      <c r="C14" s="16">
        <v>28219.5</v>
      </c>
      <c r="D14" s="16">
        <v>2595778.5</v>
      </c>
      <c r="E14" s="5">
        <f>SUMIFS(Лист2!$C$2:$C$505,Лист2!$A$2:$A$505, Лист1!A14,Лист2!$B$2:$B$505,Лист1!B14)</f>
        <v>21</v>
      </c>
      <c r="F14" s="5">
        <f>SUMIFS(Лист2!$D$2:$D$505,Лист2!$A$2:$A$505, Лист1!A14,Лист2!$B$2:$B$505,Лист1!B14)</f>
        <v>1656</v>
      </c>
      <c r="G14" s="5">
        <f>SUMIFS(Лист2!$E$2:$E$505,Лист2!$A$2:$A$505, Лист1!A14,Лист2!$B$2:$B$505,Лист1!B14)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2">
      <c r="A15" s="10">
        <v>43972</v>
      </c>
      <c r="B15" s="6" t="s">
        <v>10</v>
      </c>
      <c r="C15" s="17">
        <v>31272</v>
      </c>
      <c r="D15" s="17">
        <v>2744382</v>
      </c>
      <c r="E15" s="5">
        <f>SUMIFS(Лист2!$C$2:$C$505,Лист2!$A$2:$A$505, Лист1!A15,Лист2!$B$2:$B$505,Лист1!B15)</f>
        <v>21</v>
      </c>
      <c r="F15" s="5">
        <f>SUMIFS(Лист2!$D$2:$D$505,Лист2!$A$2:$A$505, Лист1!A15,Лист2!$B$2:$B$505,Лист1!B15)</f>
        <v>1787</v>
      </c>
      <c r="G15" s="5">
        <f>SUMIFS(Лист2!$E$2:$E$505,Лист2!$A$2:$A$505, Лист1!A15,Лист2!$B$2:$B$505,Лист1!B15)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2">
      <c r="A16" s="9">
        <v>43971</v>
      </c>
      <c r="B16" s="4" t="s">
        <v>10</v>
      </c>
      <c r="C16" s="16">
        <v>34077</v>
      </c>
      <c r="D16" s="16">
        <v>2929330.5</v>
      </c>
      <c r="E16" s="5">
        <f>SUMIFS(Лист2!$C$2:$C$505,Лист2!$A$2:$A$505, Лист1!A16,Лист2!$B$2:$B$505,Лист1!B16)</f>
        <v>21</v>
      </c>
      <c r="F16" s="5">
        <f>SUMIFS(Лист2!$D$2:$D$505,Лист2!$A$2:$A$505, Лист1!A16,Лист2!$B$2:$B$505,Лист1!B16)</f>
        <v>1921</v>
      </c>
      <c r="G16" s="5">
        <f>SUMIFS(Лист2!$E$2:$E$505,Лист2!$A$2:$A$505, Лист1!A16,Лист2!$B$2:$B$505,Лист1!B16)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2">
      <c r="A17" s="10">
        <v>43956</v>
      </c>
      <c r="B17" s="6" t="s">
        <v>10</v>
      </c>
      <c r="C17" s="17">
        <v>31566</v>
      </c>
      <c r="D17" s="17">
        <v>2906763</v>
      </c>
      <c r="E17" s="5">
        <f>SUMIFS(Лист2!$C$2:$C$505,Лист2!$A$2:$A$505, Лист1!A17,Лист2!$B$2:$B$505,Лист1!B17)</f>
        <v>20</v>
      </c>
      <c r="F17" s="5">
        <f>SUMIFS(Лист2!$D$2:$D$505,Лист2!$A$2:$A$505, Лист1!A17,Лист2!$B$2:$B$505,Лист1!B17)</f>
        <v>1773</v>
      </c>
      <c r="G17" s="5">
        <f>SUMIFS(Лист2!$E$2:$E$505,Лист2!$A$2:$A$505, Лист1!A17,Лист2!$B$2:$B$505,Лист1!B17)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2">
      <c r="A18" s="9">
        <v>43949</v>
      </c>
      <c r="B18" s="4" t="s">
        <v>10</v>
      </c>
      <c r="C18" s="16">
        <v>26940</v>
      </c>
      <c r="D18" s="16">
        <v>2411587.5</v>
      </c>
      <c r="E18" s="5">
        <f>SUMIFS(Лист2!$C$2:$C$505,Лист2!$A$2:$A$505, Лист1!A18,Лист2!$B$2:$B$505,Лист1!B18)</f>
        <v>18</v>
      </c>
      <c r="F18" s="5">
        <f>SUMIFS(Лист2!$D$2:$D$505,Лист2!$A$2:$A$505, Лист1!A18,Лист2!$B$2:$B$505,Лист1!B18)</f>
        <v>1539</v>
      </c>
      <c r="G18" s="5">
        <f>SUMIFS(Лист2!$E$2:$E$505,Лист2!$A$2:$A$505, Лист1!A18,Лист2!$B$2:$B$505,Лист1!B18)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2">
      <c r="A19" s="10">
        <v>43964</v>
      </c>
      <c r="B19" s="6" t="s">
        <v>10</v>
      </c>
      <c r="C19" s="17">
        <v>29241</v>
      </c>
      <c r="D19" s="17">
        <v>2629782</v>
      </c>
      <c r="E19" s="5">
        <f>SUMIFS(Лист2!$C$2:$C$505,Лист2!$A$2:$A$505, Лист1!A19,Лист2!$B$2:$B$505,Лист1!B19)</f>
        <v>21</v>
      </c>
      <c r="F19" s="5">
        <f>SUMIFS(Лист2!$D$2:$D$505,Лист2!$A$2:$A$505, Лист1!A19,Лист2!$B$2:$B$505,Лист1!B19)</f>
        <v>1698</v>
      </c>
      <c r="G19" s="5">
        <f>SUMIFS(Лист2!$E$2:$E$505,Лист2!$A$2:$A$505, Лист1!A19,Лист2!$B$2:$B$505,Лист1!B19)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2">
      <c r="A20" s="9">
        <v>43954</v>
      </c>
      <c r="B20" s="4" t="s">
        <v>10</v>
      </c>
      <c r="C20" s="16">
        <v>26082</v>
      </c>
      <c r="D20" s="16">
        <v>2434914</v>
      </c>
      <c r="E20" s="5">
        <f>SUMIFS(Лист2!$C$2:$C$505,Лист2!$A$2:$A$505, Лист1!A20,Лист2!$B$2:$B$505,Лист1!B20)</f>
        <v>20</v>
      </c>
      <c r="F20" s="5">
        <f>SUMIFS(Лист2!$D$2:$D$505,Лист2!$A$2:$A$505, Лист1!A20,Лист2!$B$2:$B$505,Лист1!B20)</f>
        <v>1520</v>
      </c>
      <c r="G20" s="5">
        <f>SUMIFS(Лист2!$E$2:$E$505,Лист2!$A$2:$A$505, Лист1!A20,Лист2!$B$2:$B$505,Лист1!B20)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2">
      <c r="A21" s="10">
        <v>43957</v>
      </c>
      <c r="B21" s="6" t="s">
        <v>10</v>
      </c>
      <c r="C21" s="17">
        <v>32511</v>
      </c>
      <c r="D21" s="17">
        <v>2938623</v>
      </c>
      <c r="E21" s="5">
        <f>SUMIFS(Лист2!$C$2:$C$505,Лист2!$A$2:$A$505, Лист1!A21,Лист2!$B$2:$B$505,Лист1!B21)</f>
        <v>20</v>
      </c>
      <c r="F21" s="5">
        <f>SUMIFS(Лист2!$D$2:$D$505,Лист2!$A$2:$A$505, Лист1!A21,Лист2!$B$2:$B$505,Лист1!B21)</f>
        <v>1784</v>
      </c>
      <c r="G21" s="5">
        <f>SUMIFS(Лист2!$E$2:$E$505,Лист2!$A$2:$A$505, Лист1!A21,Лист2!$B$2:$B$505,Лист1!B21)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2">
      <c r="A22" s="9">
        <v>43974</v>
      </c>
      <c r="B22" s="4" t="s">
        <v>10</v>
      </c>
      <c r="C22" s="16">
        <v>42703.5</v>
      </c>
      <c r="D22" s="16">
        <v>3628726.5</v>
      </c>
      <c r="E22" s="5">
        <f>SUMIFS(Лист2!$C$2:$C$505,Лист2!$A$2:$A$505, Лист1!A22,Лист2!$B$2:$B$505,Лист1!B22)</f>
        <v>21</v>
      </c>
      <c r="F22" s="5">
        <f>SUMIFS(Лист2!$D$2:$D$505,Лист2!$A$2:$A$505, Лист1!A22,Лист2!$B$2:$B$505,Лист1!B22)</f>
        <v>2340</v>
      </c>
      <c r="G22" s="5">
        <f>SUMIFS(Лист2!$E$2:$E$505,Лист2!$A$2:$A$505, Лист1!A22,Лист2!$B$2:$B$505,Лист1!B22)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2">
      <c r="A23" s="10">
        <v>43976</v>
      </c>
      <c r="B23" s="6" t="s">
        <v>10</v>
      </c>
      <c r="C23" s="17">
        <v>35592</v>
      </c>
      <c r="D23" s="17">
        <v>3176580</v>
      </c>
      <c r="E23" s="5">
        <f>SUMIFS(Лист2!$C$2:$C$505,Лист2!$A$2:$A$505, Лист1!A23,Лист2!$B$2:$B$505,Лист1!B23)</f>
        <v>20</v>
      </c>
      <c r="F23" s="5">
        <f>SUMIFS(Лист2!$D$2:$D$505,Лист2!$A$2:$A$505, Лист1!A23,Лист2!$B$2:$B$505,Лист1!B23)</f>
        <v>2087</v>
      </c>
      <c r="G23" s="5">
        <f>SUMIFS(Лист2!$E$2:$E$505,Лист2!$A$2:$A$505, Лист1!A23,Лист2!$B$2:$B$505,Лист1!B23)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2">
      <c r="A24" s="9">
        <v>43951</v>
      </c>
      <c r="B24" s="4" t="s">
        <v>10</v>
      </c>
      <c r="C24" s="16">
        <v>30445.5</v>
      </c>
      <c r="D24" s="16">
        <v>2817196.5</v>
      </c>
      <c r="E24" s="5">
        <f>SUMIFS(Лист2!$C$2:$C$505,Лист2!$A$2:$A$505, Лист1!A24,Лист2!$B$2:$B$505,Лист1!B24)</f>
        <v>19</v>
      </c>
      <c r="F24" s="5">
        <f>SUMIFS(Лист2!$D$2:$D$505,Лист2!$A$2:$A$505, Лист1!A24,Лист2!$B$2:$B$505,Лист1!B24)</f>
        <v>1712</v>
      </c>
      <c r="G24" s="5">
        <f>SUMIFS(Лист2!$E$2:$E$505,Лист2!$A$2:$A$505, Лист1!A24,Лист2!$B$2:$B$505,Лист1!B24)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2">
      <c r="A25" s="10">
        <v>43961</v>
      </c>
      <c r="B25" s="6" t="s">
        <v>10</v>
      </c>
      <c r="C25" s="17">
        <v>36619.5</v>
      </c>
      <c r="D25" s="17">
        <v>3312967.5</v>
      </c>
      <c r="E25" s="5">
        <f>SUMIFS(Лист2!$C$2:$C$505,Лист2!$A$2:$A$505, Лист1!A25,Лист2!$B$2:$B$505,Лист1!B25)</f>
        <v>21</v>
      </c>
      <c r="F25" s="5">
        <f>SUMIFS(Лист2!$D$2:$D$505,Лист2!$A$2:$A$505, Лист1!A25,Лист2!$B$2:$B$505,Лист1!B25)</f>
        <v>2016</v>
      </c>
      <c r="G25" s="5">
        <f>SUMIFS(Лист2!$E$2:$E$505,Лист2!$A$2:$A$505, Лист1!A25,Лист2!$B$2:$B$505,Лист1!B25)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2">
      <c r="A26" s="9">
        <v>43959</v>
      </c>
      <c r="B26" s="4" t="s">
        <v>10</v>
      </c>
      <c r="C26" s="16">
        <v>29409</v>
      </c>
      <c r="D26" s="16">
        <v>2645160</v>
      </c>
      <c r="E26" s="5">
        <f>SUMIFS(Лист2!$C$2:$C$505,Лист2!$A$2:$A$505, Лист1!A26,Лист2!$B$2:$B$505,Лист1!B26)</f>
        <v>21</v>
      </c>
      <c r="F26" s="5">
        <f>SUMIFS(Лист2!$D$2:$D$505,Лист2!$A$2:$A$505, Лист1!A26,Лист2!$B$2:$B$505,Лист1!B26)</f>
        <v>1646</v>
      </c>
      <c r="G26" s="5">
        <f>SUMIFS(Лист2!$E$2:$E$505,Лист2!$A$2:$A$505, Лист1!A26,Лист2!$B$2:$B$505,Лист1!B26)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2">
      <c r="A27" s="10">
        <v>43958</v>
      </c>
      <c r="B27" s="6" t="s">
        <v>10</v>
      </c>
      <c r="C27" s="17">
        <v>27018</v>
      </c>
      <c r="D27" s="17">
        <v>2472213</v>
      </c>
      <c r="E27" s="5">
        <f>SUMIFS(Лист2!$C$2:$C$505,Лист2!$A$2:$A$505, Лист1!A27,Лист2!$B$2:$B$505,Лист1!B27)</f>
        <v>21</v>
      </c>
      <c r="F27" s="5">
        <f>SUMIFS(Лист2!$D$2:$D$505,Лист2!$A$2:$A$505, Лист1!A27,Лист2!$B$2:$B$505,Лист1!B27)</f>
        <v>1542</v>
      </c>
      <c r="G27" s="5">
        <f>SUMIFS(Лист2!$E$2:$E$505,Лист2!$A$2:$A$505, Лист1!A27,Лист2!$B$2:$B$505,Лист1!B27)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2">
      <c r="A28" s="9">
        <v>43975</v>
      </c>
      <c r="B28" s="4" t="s">
        <v>10</v>
      </c>
      <c r="C28" s="16">
        <v>34303.5</v>
      </c>
      <c r="D28" s="16">
        <v>2924746.5</v>
      </c>
      <c r="E28" s="5">
        <f>SUMIFS(Лист2!$C$2:$C$505,Лист2!$A$2:$A$505, Лист1!A28,Лист2!$B$2:$B$505,Лист1!B28)</f>
        <v>20</v>
      </c>
      <c r="F28" s="5">
        <f>SUMIFS(Лист2!$D$2:$D$505,Лист2!$A$2:$A$505, Лист1!A28,Лист2!$B$2:$B$505,Лист1!B28)</f>
        <v>1999</v>
      </c>
      <c r="G28" s="5">
        <f>SUMIFS(Лист2!$E$2:$E$505,Лист2!$A$2:$A$505, Лист1!A28,Лист2!$B$2:$B$505,Лист1!B28)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2">
      <c r="A29" s="10">
        <v>43982</v>
      </c>
      <c r="B29" s="6" t="s">
        <v>10</v>
      </c>
      <c r="C29" s="17">
        <v>36999</v>
      </c>
      <c r="D29" s="17">
        <v>3473895</v>
      </c>
      <c r="E29" s="5">
        <f>SUMIFS(Лист2!$C$2:$C$505,Лист2!$A$2:$A$505, Лист1!A29,Лист2!$B$2:$B$505,Лист1!B29)</f>
        <v>21</v>
      </c>
      <c r="F29" s="5">
        <f>SUMIFS(Лист2!$D$2:$D$505,Лист2!$A$2:$A$505, Лист1!A29,Лист2!$B$2:$B$505,Лист1!B29)</f>
        <v>2271</v>
      </c>
      <c r="G29" s="5">
        <f>SUMIFS(Лист2!$E$2:$E$505,Лист2!$A$2:$A$505, Лист1!A29,Лист2!$B$2:$B$505,Лист1!B29)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2">
      <c r="A30" s="9">
        <v>43981</v>
      </c>
      <c r="B30" s="4" t="s">
        <v>10</v>
      </c>
      <c r="C30" s="16">
        <v>44001</v>
      </c>
      <c r="D30" s="16">
        <v>3921784.5</v>
      </c>
      <c r="E30" s="5">
        <f>SUMIFS(Лист2!$C$2:$C$505,Лист2!$A$2:$A$505, Лист1!A30,Лист2!$B$2:$B$505,Лист1!B30)</f>
        <v>20</v>
      </c>
      <c r="F30" s="5">
        <f>SUMIFS(Лист2!$D$2:$D$505,Лист2!$A$2:$A$505, Лист1!A30,Лист2!$B$2:$B$505,Лист1!B30)</f>
        <v>2597</v>
      </c>
      <c r="G30" s="5">
        <f>SUMIFS(Лист2!$E$2:$E$505,Лист2!$A$2:$A$505, Лист1!A30,Лист2!$B$2:$B$505,Лист1!B30)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2">
      <c r="A31" s="10">
        <v>43979</v>
      </c>
      <c r="B31" s="6" t="s">
        <v>10</v>
      </c>
      <c r="C31" s="17">
        <v>30982.5</v>
      </c>
      <c r="D31" s="17">
        <v>2827773</v>
      </c>
      <c r="E31" s="5">
        <f>SUMIFS(Лист2!$C$2:$C$505,Лист2!$A$2:$A$505, Лист1!A31,Лист2!$B$2:$B$505,Лист1!B31)</f>
        <v>20</v>
      </c>
      <c r="F31" s="5">
        <f>SUMIFS(Лист2!$D$2:$D$505,Лист2!$A$2:$A$505, Лист1!A31,Лист2!$B$2:$B$505,Лист1!B31)</f>
        <v>1886</v>
      </c>
      <c r="G31" s="5">
        <f>SUMIFS(Лист2!$E$2:$E$505,Лист2!$A$2:$A$505, Лист1!A31,Лист2!$B$2:$B$505,Лист1!B31)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2">
      <c r="A32" s="9">
        <v>43967</v>
      </c>
      <c r="B32" s="4" t="s">
        <v>11</v>
      </c>
      <c r="C32" s="16">
        <v>88063.5</v>
      </c>
      <c r="D32" s="16">
        <v>7583758.5</v>
      </c>
      <c r="E32" s="5">
        <f>SUMIFS(Лист2!$C$2:$C$505,Лист2!$A$2:$A$505, Лист1!A32,Лист2!$B$2:$B$505,Лист1!B32)</f>
        <v>31</v>
      </c>
      <c r="F32" s="5">
        <f>SUMIFS(Лист2!$D$2:$D$505,Лист2!$A$2:$A$505, Лист1!A32,Лист2!$B$2:$B$505,Лист1!B32)</f>
        <v>5593</v>
      </c>
      <c r="G32" s="5">
        <f>SUMIFS(Лист2!$E$2:$E$505,Лист2!$A$2:$A$505, Лист1!A32,Лист2!$B$2:$B$505,Лист1!B32)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2">
      <c r="A33" s="10">
        <v>43970</v>
      </c>
      <c r="B33" s="6" t="s">
        <v>11</v>
      </c>
      <c r="C33" s="17">
        <v>84024</v>
      </c>
      <c r="D33" s="17">
        <v>6815511</v>
      </c>
      <c r="E33" s="5">
        <f>SUMIFS(Лист2!$C$2:$C$505,Лист2!$A$2:$A$505, Лист1!A33,Лист2!$B$2:$B$505,Лист1!B33)</f>
        <v>31</v>
      </c>
      <c r="F33" s="5">
        <f>SUMIFS(Лист2!$D$2:$D$505,Лист2!$A$2:$A$505, Лист1!A33,Лист2!$B$2:$B$505,Лист1!B33)</f>
        <v>5389</v>
      </c>
      <c r="G33" s="5">
        <f>SUMIFS(Лист2!$E$2:$E$505,Лист2!$A$2:$A$505, Лист1!A33,Лист2!$B$2:$B$505,Лист1!B33)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2">
      <c r="A34" s="9">
        <v>43968</v>
      </c>
      <c r="B34" s="4" t="s">
        <v>11</v>
      </c>
      <c r="C34" s="16">
        <v>78057</v>
      </c>
      <c r="D34" s="16">
        <v>6774946.5</v>
      </c>
      <c r="E34" s="5">
        <f>SUMIFS(Лист2!$C$2:$C$505,Лист2!$A$2:$A$505, Лист1!A34,Лист2!$B$2:$B$505,Лист1!B34)</f>
        <v>31</v>
      </c>
      <c r="F34" s="5">
        <f>SUMIFS(Лист2!$D$2:$D$505,Лист2!$A$2:$A$505, Лист1!A34,Лист2!$B$2:$B$505,Лист1!B34)</f>
        <v>5206</v>
      </c>
      <c r="G34" s="5">
        <f>SUMIFS(Лист2!$E$2:$E$505,Лист2!$A$2:$A$505, Лист1!A34,Лист2!$B$2:$B$505,Лист1!B34)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2">
      <c r="A35" s="10">
        <v>43960</v>
      </c>
      <c r="B35" s="6" t="s">
        <v>11</v>
      </c>
      <c r="C35" s="17">
        <v>69720</v>
      </c>
      <c r="D35" s="17">
        <v>6264933</v>
      </c>
      <c r="E35" s="5">
        <f>SUMIFS(Лист2!$C$2:$C$505,Лист2!$A$2:$A$505, Лист1!A35,Лист2!$B$2:$B$505,Лист1!B35)</f>
        <v>31</v>
      </c>
      <c r="F35" s="5">
        <f>SUMIFS(Лист2!$D$2:$D$505,Лист2!$A$2:$A$505, Лист1!A35,Лист2!$B$2:$B$505,Лист1!B35)</f>
        <v>4556</v>
      </c>
      <c r="G35" s="5">
        <f>SUMIFS(Лист2!$E$2:$E$505,Лист2!$A$2:$A$505, Лист1!A35,Лист2!$B$2:$B$505,Лист1!B35)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2">
      <c r="A36" s="9">
        <v>43955</v>
      </c>
      <c r="B36" s="4" t="s">
        <v>11</v>
      </c>
      <c r="C36" s="16">
        <v>72928.5</v>
      </c>
      <c r="D36" s="16">
        <v>6642249</v>
      </c>
      <c r="E36" s="5">
        <f>SUMIFS(Лист2!$C$2:$C$505,Лист2!$A$2:$A$505, Лист1!A36,Лист2!$B$2:$B$505,Лист1!B36)</f>
        <v>31</v>
      </c>
      <c r="F36" s="5">
        <f>SUMIFS(Лист2!$D$2:$D$505,Лист2!$A$2:$A$505, Лист1!A36,Лист2!$B$2:$B$505,Лист1!B36)</f>
        <v>4968</v>
      </c>
      <c r="G36" s="5">
        <f>SUMIFS(Лист2!$E$2:$E$505,Лист2!$A$2:$A$505, Лист1!A36,Лист2!$B$2:$B$505,Лист1!B36)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2">
      <c r="A37" s="10">
        <v>43950</v>
      </c>
      <c r="B37" s="6" t="s">
        <v>11</v>
      </c>
      <c r="C37" s="17">
        <v>79527</v>
      </c>
      <c r="D37" s="17">
        <v>7180498.5</v>
      </c>
      <c r="E37" s="5">
        <f>SUMIFS(Лист2!$C$2:$C$505,Лист2!$A$2:$A$505, Лист1!A37,Лист2!$B$2:$B$505,Лист1!B37)</f>
        <v>31</v>
      </c>
      <c r="F37" s="5">
        <f>SUMIFS(Лист2!$D$2:$D$505,Лист2!$A$2:$A$505, Лист1!A37,Лист2!$B$2:$B$505,Лист1!B37)</f>
        <v>5378</v>
      </c>
      <c r="G37" s="5">
        <f>SUMIFS(Лист2!$E$2:$E$505,Лист2!$A$2:$A$505, Лист1!A37,Лист2!$B$2:$B$505,Лист1!B37)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2">
      <c r="A38" s="9">
        <v>43953</v>
      </c>
      <c r="B38" s="4" t="s">
        <v>11</v>
      </c>
      <c r="C38" s="16">
        <v>60463.5</v>
      </c>
      <c r="D38" s="16">
        <v>5554192.5</v>
      </c>
      <c r="E38" s="5">
        <f>SUMIFS(Лист2!$C$2:$C$505,Лист2!$A$2:$A$505, Лист1!A38,Лист2!$B$2:$B$505,Лист1!B38)</f>
        <v>31</v>
      </c>
      <c r="F38" s="5">
        <f>SUMIFS(Лист2!$D$2:$D$505,Лист2!$A$2:$A$505, Лист1!A38,Лист2!$B$2:$B$505,Лист1!B38)</f>
        <v>4157</v>
      </c>
      <c r="G38" s="5">
        <f>SUMIFS(Лист2!$E$2:$E$505,Лист2!$A$2:$A$505, Лист1!A38,Лист2!$B$2:$B$505,Лист1!B38)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2">
      <c r="A39" s="10">
        <v>43977</v>
      </c>
      <c r="B39" s="6" t="s">
        <v>11</v>
      </c>
      <c r="C39" s="17">
        <v>79975.5</v>
      </c>
      <c r="D39" s="17">
        <v>6676459.5</v>
      </c>
      <c r="E39" s="5">
        <f>SUMIFS(Лист2!$C$2:$C$505,Лист2!$A$2:$A$505, Лист1!A39,Лист2!$B$2:$B$505,Лист1!B39)</f>
        <v>31</v>
      </c>
      <c r="F39" s="5">
        <f>SUMIFS(Лист2!$D$2:$D$505,Лист2!$A$2:$A$505, Лист1!A39,Лист2!$B$2:$B$505,Лист1!B39)</f>
        <v>5493</v>
      </c>
      <c r="G39" s="5">
        <f>SUMIFS(Лист2!$E$2:$E$505,Лист2!$A$2:$A$505, Лист1!A39,Лист2!$B$2:$B$505,Лист1!B39)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2">
      <c r="A40" s="9">
        <v>43952</v>
      </c>
      <c r="B40" s="4" t="s">
        <v>11</v>
      </c>
      <c r="C40" s="16">
        <v>97534.5</v>
      </c>
      <c r="D40" s="16">
        <v>8893024.5</v>
      </c>
      <c r="E40" s="5">
        <f>SUMIFS(Лист2!$C$2:$C$505,Лист2!$A$2:$A$505, Лист1!A40,Лист2!$B$2:$B$505,Лист1!B40)</f>
        <v>31</v>
      </c>
      <c r="F40" s="5">
        <f>SUMIFS(Лист2!$D$2:$D$505,Лист2!$A$2:$A$505, Лист1!A40,Лист2!$B$2:$B$505,Лист1!B40)</f>
        <v>6118</v>
      </c>
      <c r="G40" s="5">
        <f>SUMIFS(Лист2!$E$2:$E$505,Лист2!$A$2:$A$505, Лист1!A40,Лист2!$B$2:$B$505,Лист1!B40)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2">
      <c r="A41" s="10">
        <v>43963</v>
      </c>
      <c r="B41" s="6" t="s">
        <v>11</v>
      </c>
      <c r="C41" s="17">
        <v>71520</v>
      </c>
      <c r="D41" s="17">
        <v>6398361</v>
      </c>
      <c r="E41" s="5">
        <f>SUMIFS(Лист2!$C$2:$C$505,Лист2!$A$2:$A$505, Лист1!A41,Лист2!$B$2:$B$505,Лист1!B41)</f>
        <v>31</v>
      </c>
      <c r="F41" s="5">
        <f>SUMIFS(Лист2!$D$2:$D$505,Лист2!$A$2:$A$505, Лист1!A41,Лист2!$B$2:$B$505,Лист1!B41)</f>
        <v>4800</v>
      </c>
      <c r="G41" s="5">
        <f>SUMIFS(Лист2!$E$2:$E$505,Лист2!$A$2:$A$505, Лист1!A41,Лист2!$B$2:$B$505,Лист1!B41)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2">
      <c r="A42" s="9">
        <v>43972</v>
      </c>
      <c r="B42" s="4" t="s">
        <v>11</v>
      </c>
      <c r="C42" s="16">
        <v>79485</v>
      </c>
      <c r="D42" s="16">
        <v>6633847.5</v>
      </c>
      <c r="E42" s="5">
        <f>SUMIFS(Лист2!$C$2:$C$505,Лист2!$A$2:$A$505, Лист1!A42,Лист2!$B$2:$B$505,Лист1!B42)</f>
        <v>31</v>
      </c>
      <c r="F42" s="5">
        <f>SUMIFS(Лист2!$D$2:$D$505,Лист2!$A$2:$A$505, Лист1!A42,Лист2!$B$2:$B$505,Лист1!B42)</f>
        <v>5207</v>
      </c>
      <c r="G42" s="5">
        <f>SUMIFS(Лист2!$E$2:$E$505,Лист2!$A$2:$A$505, Лист1!A42,Лист2!$B$2:$B$505,Лист1!B42)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2">
      <c r="A43" s="10">
        <v>43971</v>
      </c>
      <c r="B43" s="6" t="s">
        <v>11</v>
      </c>
      <c r="C43" s="17">
        <v>93313.5</v>
      </c>
      <c r="D43" s="17">
        <v>7247575.5</v>
      </c>
      <c r="E43" s="5">
        <f>SUMIFS(Лист2!$C$2:$C$505,Лист2!$A$2:$A$505, Лист1!A43,Лист2!$B$2:$B$505,Лист1!B43)</f>
        <v>31</v>
      </c>
      <c r="F43" s="5">
        <f>SUMIFS(Лист2!$D$2:$D$505,Лист2!$A$2:$A$505, Лист1!A43,Лист2!$B$2:$B$505,Лист1!B43)</f>
        <v>5698</v>
      </c>
      <c r="G43" s="5">
        <f>SUMIFS(Лист2!$E$2:$E$505,Лист2!$A$2:$A$505, Лист1!A43,Лист2!$B$2:$B$505,Лист1!B43)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2">
      <c r="A44" s="9">
        <v>43956</v>
      </c>
      <c r="B44" s="4" t="s">
        <v>11</v>
      </c>
      <c r="C44" s="16">
        <v>76585.5</v>
      </c>
      <c r="D44" s="16">
        <v>6921316.5</v>
      </c>
      <c r="E44" s="5">
        <f>SUMIFS(Лист2!$C$2:$C$505,Лист2!$A$2:$A$505, Лист1!A44,Лист2!$B$2:$B$505,Лист1!B44)</f>
        <v>31</v>
      </c>
      <c r="F44" s="5">
        <f>SUMIFS(Лист2!$D$2:$D$505,Лист2!$A$2:$A$505, Лист1!A44,Лист2!$B$2:$B$505,Лист1!B44)</f>
        <v>5188</v>
      </c>
      <c r="G44" s="5">
        <f>SUMIFS(Лист2!$E$2:$E$505,Лист2!$A$2:$A$505, Лист1!A44,Лист2!$B$2:$B$505,Лист1!B44)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2">
      <c r="A45" s="10">
        <v>43949</v>
      </c>
      <c r="B45" s="6" t="s">
        <v>11</v>
      </c>
      <c r="C45" s="17">
        <v>81826.5</v>
      </c>
      <c r="D45" s="17">
        <v>7163644.5</v>
      </c>
      <c r="E45" s="5">
        <f>SUMIFS(Лист2!$C$2:$C$505,Лист2!$A$2:$A$505, Лист1!A45,Лист2!$B$2:$B$505,Лист1!B45)</f>
        <v>31</v>
      </c>
      <c r="F45" s="5">
        <f>SUMIFS(Лист2!$D$2:$D$505,Лист2!$A$2:$A$505, Лист1!A45,Лист2!$B$2:$B$505,Лист1!B45)</f>
        <v>5465</v>
      </c>
      <c r="G45" s="5">
        <f>SUMIFS(Лист2!$E$2:$E$505,Лист2!$A$2:$A$505, Лист1!A45,Лист2!$B$2:$B$505,Лист1!B45)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2">
      <c r="A46" s="9">
        <v>43964</v>
      </c>
      <c r="B46" s="4" t="s">
        <v>11</v>
      </c>
      <c r="C46" s="16">
        <v>78846</v>
      </c>
      <c r="D46" s="16">
        <v>6993952.5</v>
      </c>
      <c r="E46" s="5">
        <f>SUMIFS(Лист2!$C$2:$C$505,Лист2!$A$2:$A$505, Лист1!A46,Лист2!$B$2:$B$505,Лист1!B46)</f>
        <v>31</v>
      </c>
      <c r="F46" s="5">
        <f>SUMIFS(Лист2!$D$2:$D$505,Лист2!$A$2:$A$505, Лист1!A46,Лист2!$B$2:$B$505,Лист1!B46)</f>
        <v>5251</v>
      </c>
      <c r="G46" s="5">
        <f>SUMIFS(Лист2!$E$2:$E$505,Лист2!$A$2:$A$505, Лист1!A46,Лист2!$B$2:$B$505,Лист1!B46)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2">
      <c r="A47" s="10">
        <v>43954</v>
      </c>
      <c r="B47" s="6" t="s">
        <v>11</v>
      </c>
      <c r="C47" s="17">
        <v>77263.5</v>
      </c>
      <c r="D47" s="17">
        <v>7013670</v>
      </c>
      <c r="E47" s="5">
        <f>SUMIFS(Лист2!$C$2:$C$505,Лист2!$A$2:$A$505, Лист1!A47,Лист2!$B$2:$B$505,Лист1!B47)</f>
        <v>31</v>
      </c>
      <c r="F47" s="5">
        <f>SUMIFS(Лист2!$D$2:$D$505,Лист2!$A$2:$A$505, Лист1!A47,Лист2!$B$2:$B$505,Лист1!B47)</f>
        <v>5155</v>
      </c>
      <c r="G47" s="5">
        <f>SUMIFS(Лист2!$E$2:$E$505,Лист2!$A$2:$A$505, Лист1!A47,Лист2!$B$2:$B$505,Лист1!B47)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2">
      <c r="A48" s="9">
        <v>43957</v>
      </c>
      <c r="B48" s="4" t="s">
        <v>11</v>
      </c>
      <c r="C48" s="16">
        <v>68994</v>
      </c>
      <c r="D48" s="16">
        <v>6168657</v>
      </c>
      <c r="E48" s="5">
        <f>SUMIFS(Лист2!$C$2:$C$505,Лист2!$A$2:$A$505, Лист1!A48,Лист2!$B$2:$B$505,Лист1!B48)</f>
        <v>31</v>
      </c>
      <c r="F48" s="5">
        <f>SUMIFS(Лист2!$D$2:$D$505,Лист2!$A$2:$A$505, Лист1!A48,Лист2!$B$2:$B$505,Лист1!B48)</f>
        <v>4709</v>
      </c>
      <c r="G48" s="5">
        <f>SUMIFS(Лист2!$E$2:$E$505,Лист2!$A$2:$A$505, Лист1!A48,Лист2!$B$2:$B$505,Лист1!B48)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2">
      <c r="A49" s="10">
        <v>43974</v>
      </c>
      <c r="B49" s="6" t="s">
        <v>11</v>
      </c>
      <c r="C49" s="17">
        <v>102889.5</v>
      </c>
      <c r="D49" s="17">
        <v>8089143</v>
      </c>
      <c r="E49" s="5">
        <f>SUMIFS(Лист2!$C$2:$C$505,Лист2!$A$2:$A$505, Лист1!A49,Лист2!$B$2:$B$505,Лист1!B49)</f>
        <v>31</v>
      </c>
      <c r="F49" s="5">
        <f>SUMIFS(Лист2!$D$2:$D$505,Лист2!$A$2:$A$505, Лист1!A49,Лист2!$B$2:$B$505,Лист1!B49)</f>
        <v>6276</v>
      </c>
      <c r="G49" s="5">
        <f>SUMIFS(Лист2!$E$2:$E$505,Лист2!$A$2:$A$505, Лист1!A49,Лист2!$B$2:$B$505,Лист1!B49)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2">
      <c r="A50" s="9">
        <v>43976</v>
      </c>
      <c r="B50" s="4" t="s">
        <v>11</v>
      </c>
      <c r="C50" s="16">
        <v>76999.5</v>
      </c>
      <c r="D50" s="16">
        <v>6645603</v>
      </c>
      <c r="E50" s="5">
        <f>SUMIFS(Лист2!$C$2:$C$505,Лист2!$A$2:$A$505, Лист1!A50,Лист2!$B$2:$B$505,Лист1!B50)</f>
        <v>31</v>
      </c>
      <c r="F50" s="5">
        <f>SUMIFS(Лист2!$D$2:$D$505,Лист2!$A$2:$A$505, Лист1!A50,Лист2!$B$2:$B$505,Лист1!B50)</f>
        <v>5210</v>
      </c>
      <c r="G50" s="5">
        <f>SUMIFS(Лист2!$E$2:$E$505,Лист2!$A$2:$A$505, Лист1!A50,Лист2!$B$2:$B$505,Лист1!B50)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2">
      <c r="A51" s="10">
        <v>43951</v>
      </c>
      <c r="B51" s="6" t="s">
        <v>11</v>
      </c>
      <c r="C51" s="17">
        <v>77565</v>
      </c>
      <c r="D51" s="17">
        <v>7023727.5</v>
      </c>
      <c r="E51" s="5">
        <f>SUMIFS(Лист2!$C$2:$C$505,Лист2!$A$2:$A$505, Лист1!A51,Лист2!$B$2:$B$505,Лист1!B51)</f>
        <v>31</v>
      </c>
      <c r="F51" s="5">
        <f>SUMIFS(Лист2!$D$2:$D$505,Лист2!$A$2:$A$505, Лист1!A51,Лист2!$B$2:$B$505,Лист1!B51)</f>
        <v>5120</v>
      </c>
      <c r="G51" s="5">
        <f>SUMIFS(Лист2!$E$2:$E$505,Лист2!$A$2:$A$505, Лист1!A51,Лист2!$B$2:$B$505,Лист1!B51)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2">
      <c r="A52" s="9">
        <v>43961</v>
      </c>
      <c r="B52" s="4" t="s">
        <v>11</v>
      </c>
      <c r="C52" s="16">
        <v>84132</v>
      </c>
      <c r="D52" s="16">
        <v>7483194</v>
      </c>
      <c r="E52" s="5">
        <f>SUMIFS(Лист2!$C$2:$C$505,Лист2!$A$2:$A$505, Лист1!A52,Лист2!$B$2:$B$505,Лист1!B52)</f>
        <v>31</v>
      </c>
      <c r="F52" s="5">
        <f>SUMIFS(Лист2!$D$2:$D$505,Лист2!$A$2:$A$505, Лист1!A52,Лист2!$B$2:$B$505,Лист1!B52)</f>
        <v>5495</v>
      </c>
      <c r="G52" s="5">
        <f>SUMIFS(Лист2!$E$2:$E$505,Лист2!$A$2:$A$505, Лист1!A52,Лист2!$B$2:$B$505,Лист1!B52)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2">
      <c r="A53" s="10">
        <v>43959</v>
      </c>
      <c r="B53" s="6" t="s">
        <v>11</v>
      </c>
      <c r="C53" s="17">
        <v>69544.5</v>
      </c>
      <c r="D53" s="17">
        <v>6293776.5</v>
      </c>
      <c r="E53" s="5">
        <f>SUMIFS(Лист2!$C$2:$C$505,Лист2!$A$2:$A$505, Лист1!A53,Лист2!$B$2:$B$505,Лист1!B53)</f>
        <v>31</v>
      </c>
      <c r="F53" s="5">
        <f>SUMIFS(Лист2!$D$2:$D$505,Лист2!$A$2:$A$505, Лист1!A53,Лист2!$B$2:$B$505,Лист1!B53)</f>
        <v>4635</v>
      </c>
      <c r="G53" s="5">
        <f>SUMIFS(Лист2!$E$2:$E$505,Лист2!$A$2:$A$505, Лист1!A53,Лист2!$B$2:$B$505,Лист1!B53)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2">
      <c r="A54" s="9">
        <v>43958</v>
      </c>
      <c r="B54" s="4" t="s">
        <v>11</v>
      </c>
      <c r="C54" s="16">
        <v>73204.5</v>
      </c>
      <c r="D54" s="16">
        <v>6591883.5</v>
      </c>
      <c r="E54" s="5">
        <f>SUMIFS(Лист2!$C$2:$C$505,Лист2!$A$2:$A$505, Лист1!A54,Лист2!$B$2:$B$505,Лист1!B54)</f>
        <v>31</v>
      </c>
      <c r="F54" s="5">
        <f>SUMIFS(Лист2!$D$2:$D$505,Лист2!$A$2:$A$505, Лист1!A54,Лист2!$B$2:$B$505,Лист1!B54)</f>
        <v>4903</v>
      </c>
      <c r="G54" s="5">
        <f>SUMIFS(Лист2!$E$2:$E$505,Лист2!$A$2:$A$505, Лист1!A54,Лист2!$B$2:$B$505,Лист1!B54)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2">
      <c r="A55" s="10">
        <v>43975</v>
      </c>
      <c r="B55" s="6" t="s">
        <v>11</v>
      </c>
      <c r="C55" s="17">
        <v>76663.5</v>
      </c>
      <c r="D55" s="17">
        <v>6451032</v>
      </c>
      <c r="E55" s="5">
        <f>SUMIFS(Лист2!$C$2:$C$505,Лист2!$A$2:$A$505, Лист1!A55,Лист2!$B$2:$B$505,Лист1!B55)</f>
        <v>31</v>
      </c>
      <c r="F55" s="5">
        <f>SUMIFS(Лист2!$D$2:$D$505,Лист2!$A$2:$A$505, Лист1!A55,Лист2!$B$2:$B$505,Лист1!B55)</f>
        <v>5035</v>
      </c>
      <c r="G55" s="5">
        <f>SUMIFS(Лист2!$E$2:$E$505,Лист2!$A$2:$A$505, Лист1!A55,Лист2!$B$2:$B$505,Лист1!B55)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2">
      <c r="A56" s="9">
        <v>43967</v>
      </c>
      <c r="B56" s="4" t="s">
        <v>12</v>
      </c>
      <c r="C56" s="16">
        <v>14265</v>
      </c>
      <c r="D56" s="16">
        <v>1130506.5</v>
      </c>
      <c r="E56" s="5">
        <f>SUMIFS(Лист2!$C$2:$C$505,Лист2!$A$2:$A$505, Лист1!A56,Лист2!$B$2:$B$505,Лист1!B56)</f>
        <v>10</v>
      </c>
      <c r="F56" s="5">
        <f>SUMIFS(Лист2!$D$2:$D$505,Лист2!$A$2:$A$505, Лист1!A56,Лист2!$B$2:$B$505,Лист1!B56)</f>
        <v>760</v>
      </c>
      <c r="G56" s="5">
        <f>SUMIFS(Лист2!$E$2:$E$505,Лист2!$A$2:$A$505, Лист1!A56,Лист2!$B$2:$B$505,Лист1!B56)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2">
      <c r="A57" s="10">
        <v>43970</v>
      </c>
      <c r="B57" s="6" t="s">
        <v>12</v>
      </c>
      <c r="C57" s="17">
        <v>11526</v>
      </c>
      <c r="D57" s="17">
        <v>938764.5</v>
      </c>
      <c r="E57" s="5">
        <f>SUMIFS(Лист2!$C$2:$C$505,Лист2!$A$2:$A$505, Лист1!A57,Лист2!$B$2:$B$505,Лист1!B57)</f>
        <v>10</v>
      </c>
      <c r="F57" s="5">
        <f>SUMIFS(Лист2!$D$2:$D$505,Лист2!$A$2:$A$505, Лист1!A57,Лист2!$B$2:$B$505,Лист1!B57)</f>
        <v>649</v>
      </c>
      <c r="G57" s="5">
        <f>SUMIFS(Лист2!$E$2:$E$505,Лист2!$A$2:$A$505, Лист1!A57,Лист2!$B$2:$B$505,Лист1!B57)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2">
      <c r="A58" s="9">
        <v>43968</v>
      </c>
      <c r="B58" s="4" t="s">
        <v>12</v>
      </c>
      <c r="C58" s="16">
        <v>10402.5</v>
      </c>
      <c r="D58" s="16">
        <v>843727.5</v>
      </c>
      <c r="E58" s="5">
        <f>SUMIFS(Лист2!$C$2:$C$505,Лист2!$A$2:$A$505, Лист1!A58,Лист2!$B$2:$B$505,Лист1!B58)</f>
        <v>10</v>
      </c>
      <c r="F58" s="5">
        <f>SUMIFS(Лист2!$D$2:$D$505,Лист2!$A$2:$A$505, Лист1!A58,Лист2!$B$2:$B$505,Лист1!B58)</f>
        <v>591</v>
      </c>
      <c r="G58" s="5">
        <f>SUMIFS(Лист2!$E$2:$E$505,Лист2!$A$2:$A$505, Лист1!A58,Лист2!$B$2:$B$505,Лист1!B58)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2">
      <c r="A59" s="10">
        <v>43960</v>
      </c>
      <c r="B59" s="6" t="s">
        <v>12</v>
      </c>
      <c r="C59" s="17">
        <v>13216.5</v>
      </c>
      <c r="D59" s="17">
        <v>1046400</v>
      </c>
      <c r="E59" s="5">
        <f>SUMIFS(Лист2!$C$2:$C$505,Лист2!$A$2:$A$505, Лист1!A59,Лист2!$B$2:$B$505,Лист1!B59)</f>
        <v>10</v>
      </c>
      <c r="F59" s="5">
        <f>SUMIFS(Лист2!$D$2:$D$505,Лист2!$A$2:$A$505, Лист1!A59,Лист2!$B$2:$B$505,Лист1!B59)</f>
        <v>644</v>
      </c>
      <c r="G59" s="5">
        <f>SUMIFS(Лист2!$E$2:$E$505,Лист2!$A$2:$A$505, Лист1!A59,Лист2!$B$2:$B$505,Лист1!B59)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2">
      <c r="A60" s="9">
        <v>43955</v>
      </c>
      <c r="B60" s="4" t="s">
        <v>12</v>
      </c>
      <c r="C60" s="16">
        <v>9130.5</v>
      </c>
      <c r="D60" s="16">
        <v>728890.5</v>
      </c>
      <c r="E60" s="5">
        <f>SUMIFS(Лист2!$C$2:$C$505,Лист2!$A$2:$A$505, Лист1!A60,Лист2!$B$2:$B$505,Лист1!B60)</f>
        <v>10</v>
      </c>
      <c r="F60" s="5">
        <f>SUMIFS(Лист2!$D$2:$D$505,Лист2!$A$2:$A$505, Лист1!A60,Лист2!$B$2:$B$505,Лист1!B60)</f>
        <v>462</v>
      </c>
      <c r="G60" s="5">
        <f>SUMIFS(Лист2!$E$2:$E$505,Лист2!$A$2:$A$505, Лист1!A60,Лист2!$B$2:$B$505,Лист1!B60)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2">
      <c r="A61" s="10">
        <v>43950</v>
      </c>
      <c r="B61" s="6" t="s">
        <v>12</v>
      </c>
      <c r="C61" s="17">
        <v>10840.5</v>
      </c>
      <c r="D61" s="17">
        <v>797919</v>
      </c>
      <c r="E61" s="5">
        <f>SUMIFS(Лист2!$C$2:$C$505,Лист2!$A$2:$A$505, Лист1!A61,Лист2!$B$2:$B$505,Лист1!B61)</f>
        <v>10</v>
      </c>
      <c r="F61" s="5">
        <f>SUMIFS(Лист2!$D$2:$D$505,Лист2!$A$2:$A$505, Лист1!A61,Лист2!$B$2:$B$505,Лист1!B61)</f>
        <v>502</v>
      </c>
      <c r="G61" s="5">
        <f>SUMIFS(Лист2!$E$2:$E$505,Лист2!$A$2:$A$505, Лист1!A61,Лист2!$B$2:$B$505,Лист1!B61)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2">
      <c r="A62" s="9">
        <v>43953</v>
      </c>
      <c r="B62" s="4" t="s">
        <v>12</v>
      </c>
      <c r="C62" s="16">
        <v>7866</v>
      </c>
      <c r="D62" s="16">
        <v>617881.5</v>
      </c>
      <c r="E62" s="5">
        <f>SUMIFS(Лист2!$C$2:$C$505,Лист2!$A$2:$A$505, Лист1!A62,Лист2!$B$2:$B$505,Лист1!B62)</f>
        <v>10</v>
      </c>
      <c r="F62" s="5">
        <f>SUMIFS(Лист2!$D$2:$D$505,Лист2!$A$2:$A$505, Лист1!A62,Лист2!$B$2:$B$505,Лист1!B62)</f>
        <v>416</v>
      </c>
      <c r="G62" s="5">
        <f>SUMIFS(Лист2!$E$2:$E$505,Лист2!$A$2:$A$505, Лист1!A62,Лист2!$B$2:$B$505,Лист1!B62)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2">
      <c r="A63" s="10">
        <v>43977</v>
      </c>
      <c r="B63" s="6" t="s">
        <v>12</v>
      </c>
      <c r="C63" s="17">
        <v>11835</v>
      </c>
      <c r="D63" s="17">
        <v>983109</v>
      </c>
      <c r="E63" s="5">
        <f>SUMIFS(Лист2!$C$2:$C$505,Лист2!$A$2:$A$505, Лист1!A63,Лист2!$B$2:$B$505,Лист1!B63)</f>
        <v>10</v>
      </c>
      <c r="F63" s="5">
        <f>SUMIFS(Лист2!$D$2:$D$505,Лист2!$A$2:$A$505, Лист1!A63,Лист2!$B$2:$B$505,Лист1!B63)</f>
        <v>692</v>
      </c>
      <c r="G63" s="5">
        <f>SUMIFS(Лист2!$E$2:$E$505,Лист2!$A$2:$A$505, Лист1!A63,Лист2!$B$2:$B$505,Лист1!B63)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2">
      <c r="A64" s="9">
        <v>43952</v>
      </c>
      <c r="B64" s="4" t="s">
        <v>12</v>
      </c>
      <c r="C64" s="16">
        <v>11619</v>
      </c>
      <c r="D64" s="16">
        <v>891139.5</v>
      </c>
      <c r="E64" s="5">
        <f>SUMIFS(Лист2!$C$2:$C$505,Лист2!$A$2:$A$505, Лист1!A64,Лист2!$B$2:$B$505,Лист1!B64)</f>
        <v>10</v>
      </c>
      <c r="F64" s="5">
        <f>SUMIFS(Лист2!$D$2:$D$505,Лист2!$A$2:$A$505, Лист1!A64,Лист2!$B$2:$B$505,Лист1!B64)</f>
        <v>554</v>
      </c>
      <c r="G64" s="5">
        <f>SUMIFS(Лист2!$E$2:$E$505,Лист2!$A$2:$A$505, Лист1!A64,Лист2!$B$2:$B$505,Лист1!B64)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2">
      <c r="A65" s="10">
        <v>43963</v>
      </c>
      <c r="B65" s="6" t="s">
        <v>12</v>
      </c>
      <c r="C65" s="17">
        <v>9328.5</v>
      </c>
      <c r="D65" s="17">
        <v>732964.5</v>
      </c>
      <c r="E65" s="5">
        <f>SUMIFS(Лист2!$C$2:$C$505,Лист2!$A$2:$A$505, Лист1!A65,Лист2!$B$2:$B$505,Лист1!B65)</f>
        <v>10</v>
      </c>
      <c r="F65" s="5">
        <f>SUMIFS(Лист2!$D$2:$D$505,Лист2!$A$2:$A$505, Лист1!A65,Лист2!$B$2:$B$505,Лист1!B65)</f>
        <v>526</v>
      </c>
      <c r="G65" s="5">
        <f>SUMIFS(Лист2!$E$2:$E$505,Лист2!$A$2:$A$505, Лист1!A65,Лист2!$B$2:$B$505,Лист1!B65)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2">
      <c r="A66" s="9">
        <v>43972</v>
      </c>
      <c r="B66" s="4" t="s">
        <v>12</v>
      </c>
      <c r="C66" s="16">
        <v>11250</v>
      </c>
      <c r="D66" s="16">
        <v>935523</v>
      </c>
      <c r="E66" s="5">
        <f>SUMIFS(Лист2!$C$2:$C$505,Лист2!$A$2:$A$505, Лист1!A66,Лист2!$B$2:$B$505,Лист1!B66)</f>
        <v>10</v>
      </c>
      <c r="F66" s="5">
        <f>SUMIFS(Лист2!$D$2:$D$505,Лист2!$A$2:$A$505, Лист1!A66,Лист2!$B$2:$B$505,Лист1!B66)</f>
        <v>677</v>
      </c>
      <c r="G66" s="5">
        <f>SUMIFS(Лист2!$E$2:$E$505,Лист2!$A$2:$A$505, Лист1!A66,Лист2!$B$2:$B$505,Лист1!B66)</f>
        <v>591</v>
      </c>
      <c r="H66">
        <f t="shared" ref="H66:H129" si="2">D66 / E66</f>
        <v>93552.3</v>
      </c>
      <c r="I66">
        <f t="shared" si="1"/>
        <v>21</v>
      </c>
    </row>
    <row r="67" spans="1:9" ht="14.25" customHeight="1" x14ac:dyDescent="0.2">
      <c r="A67" s="10">
        <v>43971</v>
      </c>
      <c r="B67" s="6" t="s">
        <v>12</v>
      </c>
      <c r="C67" s="17">
        <v>13063.5</v>
      </c>
      <c r="D67" s="17">
        <v>1037247</v>
      </c>
      <c r="E67" s="5">
        <f>SUMIFS(Лист2!$C$2:$C$505,Лист2!$A$2:$A$505, Лист1!A67,Лист2!$B$2:$B$505,Лист1!B67)</f>
        <v>10</v>
      </c>
      <c r="F67" s="5">
        <f>SUMIFS(Лист2!$D$2:$D$505,Лист2!$A$2:$A$505, Лист1!A67,Лист2!$B$2:$B$505,Лист1!B67)</f>
        <v>745</v>
      </c>
      <c r="G67" s="5">
        <f>SUMIFS(Лист2!$E$2:$E$505,Лист2!$A$2:$A$505, Лист1!A67,Лист2!$B$2:$B$505,Лист1!B67)</f>
        <v>654</v>
      </c>
      <c r="H67">
        <f t="shared" si="2"/>
        <v>103724.7</v>
      </c>
      <c r="I67">
        <f t="shared" ref="I67:I130" si="3">WEEKNUM(A67,2)</f>
        <v>21</v>
      </c>
    </row>
    <row r="68" spans="1:9" ht="14.25" customHeight="1" x14ac:dyDescent="0.2">
      <c r="A68" s="9">
        <v>43956</v>
      </c>
      <c r="B68" s="4" t="s">
        <v>12</v>
      </c>
      <c r="C68" s="16">
        <v>10147.5</v>
      </c>
      <c r="D68" s="16">
        <v>793320</v>
      </c>
      <c r="E68" s="5">
        <f>SUMIFS(Лист2!$C$2:$C$505,Лист2!$A$2:$A$505, Лист1!A68,Лист2!$B$2:$B$505,Лист1!B68)</f>
        <v>10</v>
      </c>
      <c r="F68" s="5">
        <f>SUMIFS(Лист2!$D$2:$D$505,Лист2!$A$2:$A$505, Лист1!A68,Лист2!$B$2:$B$505,Лист1!B68)</f>
        <v>511</v>
      </c>
      <c r="G68" s="5">
        <f>SUMIFS(Лист2!$E$2:$E$505,Лист2!$A$2:$A$505, Лист1!A68,Лист2!$B$2:$B$505,Лист1!B68)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2">
      <c r="A69" s="10">
        <v>43949</v>
      </c>
      <c r="B69" s="6" t="s">
        <v>12</v>
      </c>
      <c r="C69" s="17">
        <v>12331.5</v>
      </c>
      <c r="D69" s="17">
        <v>869983.5</v>
      </c>
      <c r="E69" s="5">
        <f>SUMIFS(Лист2!$C$2:$C$505,Лист2!$A$2:$A$505, Лист1!A69,Лист2!$B$2:$B$505,Лист1!B69)</f>
        <v>10</v>
      </c>
      <c r="F69" s="5">
        <f>SUMIFS(Лист2!$D$2:$D$505,Лист2!$A$2:$A$505, Лист1!A69,Лист2!$B$2:$B$505,Лист1!B69)</f>
        <v>580</v>
      </c>
      <c r="G69" s="5">
        <f>SUMIFS(Лист2!$E$2:$E$505,Лист2!$A$2:$A$505, Лист1!A69,Лист2!$B$2:$B$505,Лист1!B69)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2">
      <c r="A70" s="9">
        <v>43964</v>
      </c>
      <c r="B70" s="4" t="s">
        <v>12</v>
      </c>
      <c r="C70" s="16">
        <v>11202</v>
      </c>
      <c r="D70" s="16">
        <v>865714.5</v>
      </c>
      <c r="E70" s="5">
        <f>SUMIFS(Лист2!$C$2:$C$505,Лист2!$A$2:$A$505, Лист1!A70,Лист2!$B$2:$B$505,Лист1!B70)</f>
        <v>10</v>
      </c>
      <c r="F70" s="5">
        <f>SUMIFS(Лист2!$D$2:$D$505,Лист2!$A$2:$A$505, Лист1!A70,Лист2!$B$2:$B$505,Лист1!B70)</f>
        <v>612</v>
      </c>
      <c r="G70" s="5">
        <f>SUMIFS(Лист2!$E$2:$E$505,Лист2!$A$2:$A$505, Лист1!A70,Лист2!$B$2:$B$505,Лист1!B70)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2">
      <c r="A71" s="10">
        <v>43982</v>
      </c>
      <c r="B71" s="6" t="s">
        <v>11</v>
      </c>
      <c r="C71" s="17">
        <v>89149.5</v>
      </c>
      <c r="D71" s="17">
        <v>7512646.5</v>
      </c>
      <c r="E71" s="5">
        <f>SUMIFS(Лист2!$C$2:$C$505,Лист2!$A$2:$A$505, Лист1!A71,Лист2!$B$2:$B$505,Лист1!B71)</f>
        <v>31</v>
      </c>
      <c r="F71" s="5">
        <f>SUMIFS(Лист2!$D$2:$D$505,Лист2!$A$2:$A$505, Лист1!A71,Лист2!$B$2:$B$505,Лист1!B71)</f>
        <v>5760</v>
      </c>
      <c r="G71" s="5">
        <f>SUMIFS(Лист2!$E$2:$E$505,Лист2!$A$2:$A$505, Лист1!A71,Лист2!$B$2:$B$505,Лист1!B71)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2">
      <c r="A72" s="9">
        <v>43954</v>
      </c>
      <c r="B72" s="4" t="s">
        <v>12</v>
      </c>
      <c r="C72" s="16">
        <v>8185.5</v>
      </c>
      <c r="D72" s="16">
        <v>637881</v>
      </c>
      <c r="E72" s="5">
        <f>SUMIFS(Лист2!$C$2:$C$505,Лист2!$A$2:$A$505, Лист1!A72,Лист2!$B$2:$B$505,Лист1!B72)</f>
        <v>10</v>
      </c>
      <c r="F72" s="5">
        <f>SUMIFS(Лист2!$D$2:$D$505,Лист2!$A$2:$A$505, Лист1!A72,Лист2!$B$2:$B$505,Лист1!B72)</f>
        <v>402</v>
      </c>
      <c r="G72" s="5">
        <f>SUMIFS(Лист2!$E$2:$E$505,Лист2!$A$2:$A$505, Лист1!A72,Лист2!$B$2:$B$505,Лист1!B72)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2">
      <c r="A73" s="10">
        <v>43981</v>
      </c>
      <c r="B73" s="6" t="s">
        <v>11</v>
      </c>
      <c r="C73" s="17">
        <v>108123</v>
      </c>
      <c r="D73" s="17">
        <v>9164707.5</v>
      </c>
      <c r="E73" s="5">
        <f>SUMIFS(Лист2!$C$2:$C$505,Лист2!$A$2:$A$505, Лист1!A73,Лист2!$B$2:$B$505,Лист1!B73)</f>
        <v>31</v>
      </c>
      <c r="F73" s="5">
        <f>SUMIFS(Лист2!$D$2:$D$505,Лист2!$A$2:$A$505, Лист1!A73,Лист2!$B$2:$B$505,Лист1!B73)</f>
        <v>6735</v>
      </c>
      <c r="G73" s="5">
        <f>SUMIFS(Лист2!$E$2:$E$505,Лист2!$A$2:$A$505, Лист1!A73,Лист2!$B$2:$B$505,Лист1!B73)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2">
      <c r="A74" s="9">
        <v>43957</v>
      </c>
      <c r="B74" s="4" t="s">
        <v>12</v>
      </c>
      <c r="C74" s="16">
        <v>9210</v>
      </c>
      <c r="D74" s="16">
        <v>696832.5</v>
      </c>
      <c r="E74" s="5">
        <f>SUMIFS(Лист2!$C$2:$C$505,Лист2!$A$2:$A$505, Лист1!A74,Лист2!$B$2:$B$505,Лист1!B74)</f>
        <v>10</v>
      </c>
      <c r="F74" s="5">
        <f>SUMIFS(Лист2!$D$2:$D$505,Лист2!$A$2:$A$505, Лист1!A74,Лист2!$B$2:$B$505,Лист1!B74)</f>
        <v>465</v>
      </c>
      <c r="G74" s="5">
        <f>SUMIFS(Лист2!$E$2:$E$505,Лист2!$A$2:$A$505, Лист1!A74,Лист2!$B$2:$B$505,Лист1!B74)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2">
      <c r="A75" s="10">
        <v>43974</v>
      </c>
      <c r="B75" s="6" t="s">
        <v>12</v>
      </c>
      <c r="C75" s="17">
        <v>14773.5</v>
      </c>
      <c r="D75" s="17">
        <v>1241383.5</v>
      </c>
      <c r="E75" s="5">
        <f>SUMIFS(Лист2!$C$2:$C$505,Лист2!$A$2:$A$505, Лист1!A75,Лист2!$B$2:$B$505,Лист1!B75)</f>
        <v>10</v>
      </c>
      <c r="F75" s="5">
        <f>SUMIFS(Лист2!$D$2:$D$505,Лист2!$A$2:$A$505, Лист1!A75,Лист2!$B$2:$B$505,Лист1!B75)</f>
        <v>828</v>
      </c>
      <c r="G75" s="5">
        <f>SUMIFS(Лист2!$E$2:$E$505,Лист2!$A$2:$A$505, Лист1!A75,Лист2!$B$2:$B$505,Лист1!B75)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2">
      <c r="A76" s="9">
        <v>43979</v>
      </c>
      <c r="B76" s="4" t="s">
        <v>11</v>
      </c>
      <c r="C76" s="16">
        <v>78141</v>
      </c>
      <c r="D76" s="16">
        <v>6641569.5</v>
      </c>
      <c r="E76" s="5">
        <f>SUMIFS(Лист2!$C$2:$C$505,Лист2!$A$2:$A$505, Лист1!A76,Лист2!$B$2:$B$505,Лист1!B76)</f>
        <v>31</v>
      </c>
      <c r="F76" s="5">
        <f>SUMIFS(Лист2!$D$2:$D$505,Лист2!$A$2:$A$505, Лист1!A76,Лист2!$B$2:$B$505,Лист1!B76)</f>
        <v>5355</v>
      </c>
      <c r="G76" s="5">
        <f>SUMIFS(Лист2!$E$2:$E$505,Лист2!$A$2:$A$505, Лист1!A76,Лист2!$B$2:$B$505,Лист1!B76)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2">
      <c r="A77" s="10">
        <v>43976</v>
      </c>
      <c r="B77" s="6" t="s">
        <v>12</v>
      </c>
      <c r="C77" s="17">
        <v>12280.5</v>
      </c>
      <c r="D77" s="17">
        <v>1030440</v>
      </c>
      <c r="E77" s="5">
        <f>SUMIFS(Лист2!$C$2:$C$505,Лист2!$A$2:$A$505, Лист1!A77,Лист2!$B$2:$B$505,Лист1!B77)</f>
        <v>10</v>
      </c>
      <c r="F77" s="5">
        <f>SUMIFS(Лист2!$D$2:$D$505,Лист2!$A$2:$A$505, Лист1!A77,Лист2!$B$2:$B$505,Лист1!B77)</f>
        <v>739</v>
      </c>
      <c r="G77" s="5">
        <f>SUMIFS(Лист2!$E$2:$E$505,Лист2!$A$2:$A$505, Лист1!A77,Лист2!$B$2:$B$505,Лист1!B77)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2">
      <c r="A78" s="9">
        <v>43951</v>
      </c>
      <c r="B78" s="4" t="s">
        <v>12</v>
      </c>
      <c r="C78" s="16">
        <v>8934</v>
      </c>
      <c r="D78" s="16">
        <v>716196</v>
      </c>
      <c r="E78" s="5">
        <f>SUMIFS(Лист2!$C$2:$C$505,Лист2!$A$2:$A$505, Лист1!A78,Лист2!$B$2:$B$505,Лист1!B78)</f>
        <v>10</v>
      </c>
      <c r="F78" s="5">
        <f>SUMIFS(Лист2!$D$2:$D$505,Лист2!$A$2:$A$505, Лист1!A78,Лист2!$B$2:$B$505,Лист1!B78)</f>
        <v>448</v>
      </c>
      <c r="G78" s="5">
        <f>SUMIFS(Лист2!$E$2:$E$505,Лист2!$A$2:$A$505, Лист1!A78,Лист2!$B$2:$B$505,Лист1!B78)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2">
      <c r="A79" s="10">
        <v>43961</v>
      </c>
      <c r="B79" s="6" t="s">
        <v>12</v>
      </c>
      <c r="C79" s="17">
        <v>12918</v>
      </c>
      <c r="D79" s="17">
        <v>1004788.5</v>
      </c>
      <c r="E79" s="5">
        <f>SUMIFS(Лист2!$C$2:$C$505,Лист2!$A$2:$A$505, Лист1!A79,Лист2!$B$2:$B$505,Лист1!B79)</f>
        <v>10</v>
      </c>
      <c r="F79" s="5">
        <f>SUMIFS(Лист2!$D$2:$D$505,Лист2!$A$2:$A$505, Лист1!A79,Лист2!$B$2:$B$505,Лист1!B79)</f>
        <v>642</v>
      </c>
      <c r="G79" s="5">
        <f>SUMIFS(Лист2!$E$2:$E$505,Лист2!$A$2:$A$505, Лист1!A79,Лист2!$B$2:$B$505,Лист1!B79)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2">
      <c r="A80" s="9">
        <v>43959</v>
      </c>
      <c r="B80" s="4" t="s">
        <v>12</v>
      </c>
      <c r="C80" s="16">
        <v>12528</v>
      </c>
      <c r="D80" s="16">
        <v>959703</v>
      </c>
      <c r="E80" s="5">
        <f>SUMIFS(Лист2!$C$2:$C$505,Лист2!$A$2:$A$505, Лист1!A80,Лист2!$B$2:$B$505,Лист1!B80)</f>
        <v>10</v>
      </c>
      <c r="F80" s="5">
        <f>SUMIFS(Лист2!$D$2:$D$505,Лист2!$A$2:$A$505, Лист1!A80,Лист2!$B$2:$B$505,Лист1!B80)</f>
        <v>638</v>
      </c>
      <c r="G80" s="5">
        <f>SUMIFS(Лист2!$E$2:$E$505,Лист2!$A$2:$A$505, Лист1!A80,Лист2!$B$2:$B$505,Лист1!B80)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2">
      <c r="A81" s="10">
        <v>43958</v>
      </c>
      <c r="B81" s="6" t="s">
        <v>12</v>
      </c>
      <c r="C81" s="17">
        <v>11029.5</v>
      </c>
      <c r="D81" s="17">
        <v>863754</v>
      </c>
      <c r="E81" s="5">
        <f>SUMIFS(Лист2!$C$2:$C$505,Лист2!$A$2:$A$505, Лист1!A81,Лист2!$B$2:$B$505,Лист1!B81)</f>
        <v>10</v>
      </c>
      <c r="F81" s="5">
        <f>SUMIFS(Лист2!$D$2:$D$505,Лист2!$A$2:$A$505, Лист1!A81,Лист2!$B$2:$B$505,Лист1!B81)</f>
        <v>563</v>
      </c>
      <c r="G81" s="5">
        <f>SUMIFS(Лист2!$E$2:$E$505,Лист2!$A$2:$A$505, Лист1!A81,Лист2!$B$2:$B$505,Лист1!B81)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2">
      <c r="A82" s="9">
        <v>43975</v>
      </c>
      <c r="B82" s="4" t="s">
        <v>12</v>
      </c>
      <c r="C82" s="16">
        <v>9994.5</v>
      </c>
      <c r="D82" s="16">
        <v>828984</v>
      </c>
      <c r="E82" s="5">
        <f>SUMIFS(Лист2!$C$2:$C$505,Лист2!$A$2:$A$505, Лист1!A82,Лист2!$B$2:$B$505,Лист1!B82)</f>
        <v>10</v>
      </c>
      <c r="F82" s="5">
        <f>SUMIFS(Лист2!$D$2:$D$505,Лист2!$A$2:$A$505, Лист1!A82,Лист2!$B$2:$B$505,Лист1!B82)</f>
        <v>639</v>
      </c>
      <c r="G82" s="5">
        <f>SUMIFS(Лист2!$E$2:$E$505,Лист2!$A$2:$A$505, Лист1!A82,Лист2!$B$2:$B$505,Лист1!B82)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2">
      <c r="A83" s="10">
        <v>43982</v>
      </c>
      <c r="B83" s="6" t="s">
        <v>12</v>
      </c>
      <c r="C83" s="17">
        <v>12724.5</v>
      </c>
      <c r="D83" s="17">
        <v>1045515</v>
      </c>
      <c r="E83" s="5">
        <f>SUMIFS(Лист2!$C$2:$C$505,Лист2!$A$2:$A$505, Лист1!A83,Лист2!$B$2:$B$505,Лист1!B83)</f>
        <v>10</v>
      </c>
      <c r="F83" s="5">
        <f>SUMIFS(Лист2!$D$2:$D$505,Лист2!$A$2:$A$505, Лист1!A83,Лист2!$B$2:$B$505,Лист1!B83)</f>
        <v>749</v>
      </c>
      <c r="G83" s="5">
        <f>SUMIFS(Лист2!$E$2:$E$505,Лист2!$A$2:$A$505, Лист1!A83,Лист2!$B$2:$B$505,Лист1!B83)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2">
      <c r="A84" s="9">
        <v>43981</v>
      </c>
      <c r="B84" s="4" t="s">
        <v>12</v>
      </c>
      <c r="C84" s="16">
        <v>14728.5</v>
      </c>
      <c r="D84" s="16">
        <v>1260483</v>
      </c>
      <c r="E84" s="5">
        <f>SUMIFS(Лист2!$C$2:$C$505,Лист2!$A$2:$A$505, Лист1!A84,Лист2!$B$2:$B$505,Лист1!B84)</f>
        <v>10</v>
      </c>
      <c r="F84" s="5">
        <f>SUMIFS(Лист2!$D$2:$D$505,Лист2!$A$2:$A$505, Лист1!A84,Лист2!$B$2:$B$505,Лист1!B84)</f>
        <v>865</v>
      </c>
      <c r="G84" s="5">
        <f>SUMIFS(Лист2!$E$2:$E$505,Лист2!$A$2:$A$505, Лист1!A84,Лист2!$B$2:$B$505,Лист1!B84)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2">
      <c r="A85" s="10">
        <v>43979</v>
      </c>
      <c r="B85" s="6" t="s">
        <v>12</v>
      </c>
      <c r="C85" s="17">
        <v>13038</v>
      </c>
      <c r="D85" s="17">
        <v>1114552.5</v>
      </c>
      <c r="E85" s="5">
        <f>SUMIFS(Лист2!$C$2:$C$505,Лист2!$A$2:$A$505, Лист1!A85,Лист2!$B$2:$B$505,Лист1!B85)</f>
        <v>10</v>
      </c>
      <c r="F85" s="5">
        <f>SUMIFS(Лист2!$D$2:$D$505,Лист2!$A$2:$A$505, Лист1!A85,Лист2!$B$2:$B$505,Лист1!B85)</f>
        <v>791</v>
      </c>
      <c r="G85" s="5">
        <f>SUMIFS(Лист2!$E$2:$E$505,Лист2!$A$2:$A$505, Лист1!A85,Лист2!$B$2:$B$505,Лист1!B85)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2">
      <c r="A86" s="9">
        <v>43967</v>
      </c>
      <c r="B86" s="4" t="s">
        <v>13</v>
      </c>
      <c r="C86" s="16">
        <v>35482.5</v>
      </c>
      <c r="D86" s="16">
        <v>3222517.5</v>
      </c>
      <c r="E86" s="5">
        <f>SUMIFS(Лист2!$C$2:$C$505,Лист2!$A$2:$A$505, Лист1!A86,Лист2!$B$2:$B$505,Лист1!B86)</f>
        <v>19</v>
      </c>
      <c r="F86" s="5">
        <f>SUMIFS(Лист2!$D$2:$D$505,Лист2!$A$2:$A$505, Лист1!A86,Лист2!$B$2:$B$505,Лист1!B86)</f>
        <v>2080</v>
      </c>
      <c r="G86" s="5">
        <f>SUMIFS(Лист2!$E$2:$E$505,Лист2!$A$2:$A$505, Лист1!A86,Лист2!$B$2:$B$505,Лист1!B86)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2">
      <c r="A87" s="10">
        <v>43970</v>
      </c>
      <c r="B87" s="6" t="s">
        <v>13</v>
      </c>
      <c r="C87" s="17">
        <v>32434.5</v>
      </c>
      <c r="D87" s="17">
        <v>2865337.5</v>
      </c>
      <c r="E87" s="5">
        <f>SUMIFS(Лист2!$C$2:$C$505,Лист2!$A$2:$A$505, Лист1!A87,Лист2!$B$2:$B$505,Лист1!B87)</f>
        <v>19</v>
      </c>
      <c r="F87" s="5">
        <f>SUMIFS(Лист2!$D$2:$D$505,Лист2!$A$2:$A$505, Лист1!A87,Лист2!$B$2:$B$505,Лист1!B87)</f>
        <v>1999</v>
      </c>
      <c r="G87" s="5">
        <f>SUMIFS(Лист2!$E$2:$E$505,Лист2!$A$2:$A$505, Лист1!A87,Лист2!$B$2:$B$505,Лист1!B87)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2">
      <c r="A88" s="9">
        <v>43968</v>
      </c>
      <c r="B88" s="4" t="s">
        <v>13</v>
      </c>
      <c r="C88" s="16">
        <v>30486</v>
      </c>
      <c r="D88" s="16">
        <v>2694289.5</v>
      </c>
      <c r="E88" s="5">
        <f>SUMIFS(Лист2!$C$2:$C$505,Лист2!$A$2:$A$505, Лист1!A88,Лист2!$B$2:$B$505,Лист1!B88)</f>
        <v>19</v>
      </c>
      <c r="F88" s="5">
        <f>SUMIFS(Лист2!$D$2:$D$505,Лист2!$A$2:$A$505, Лист1!A88,Лист2!$B$2:$B$505,Лист1!B88)</f>
        <v>1871</v>
      </c>
      <c r="G88" s="5">
        <f>SUMIFS(Лист2!$E$2:$E$505,Лист2!$A$2:$A$505, Лист1!A88,Лист2!$B$2:$B$505,Лист1!B88)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2">
      <c r="A89" s="10">
        <v>43960</v>
      </c>
      <c r="B89" s="6" t="s">
        <v>13</v>
      </c>
      <c r="C89" s="17">
        <v>32079</v>
      </c>
      <c r="D89" s="17">
        <v>2902167</v>
      </c>
      <c r="E89" s="5">
        <f>SUMIFS(Лист2!$C$2:$C$505,Лист2!$A$2:$A$505, Лист1!A89,Лист2!$B$2:$B$505,Лист1!B89)</f>
        <v>19</v>
      </c>
      <c r="F89" s="5">
        <f>SUMIFS(Лист2!$D$2:$D$505,Лист2!$A$2:$A$505, Лист1!A89,Лист2!$B$2:$B$505,Лист1!B89)</f>
        <v>1851</v>
      </c>
      <c r="G89" s="5">
        <f>SUMIFS(Лист2!$E$2:$E$505,Лист2!$A$2:$A$505, Лист1!A89,Лист2!$B$2:$B$505,Лист1!B89)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2">
      <c r="A90" s="9">
        <v>43955</v>
      </c>
      <c r="B90" s="4" t="s">
        <v>13</v>
      </c>
      <c r="C90" s="16">
        <v>27072</v>
      </c>
      <c r="D90" s="16">
        <v>2450968.5</v>
      </c>
      <c r="E90" s="5">
        <f>SUMIFS(Лист2!$C$2:$C$505,Лист2!$A$2:$A$505, Лист1!A90,Лист2!$B$2:$B$505,Лист1!B90)</f>
        <v>19</v>
      </c>
      <c r="F90" s="5">
        <f>SUMIFS(Лист2!$D$2:$D$505,Лист2!$A$2:$A$505, Лист1!A90,Лист2!$B$2:$B$505,Лист1!B90)</f>
        <v>1582</v>
      </c>
      <c r="G90" s="5">
        <f>SUMIFS(Лист2!$E$2:$E$505,Лист2!$A$2:$A$505, Лист1!A90,Лист2!$B$2:$B$505,Лист1!B90)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2">
      <c r="A91" s="10">
        <v>43950</v>
      </c>
      <c r="B91" s="6" t="s">
        <v>13</v>
      </c>
      <c r="C91" s="17">
        <v>25917</v>
      </c>
      <c r="D91" s="17">
        <v>2397588</v>
      </c>
      <c r="E91" s="5">
        <f>SUMIFS(Лист2!$C$2:$C$505,Лист2!$A$2:$A$505, Лист1!A91,Лист2!$B$2:$B$505,Лист1!B91)</f>
        <v>18</v>
      </c>
      <c r="F91" s="5">
        <f>SUMIFS(Лист2!$D$2:$D$505,Лист2!$A$2:$A$505, Лист1!A91,Лист2!$B$2:$B$505,Лист1!B91)</f>
        <v>1534</v>
      </c>
      <c r="G91" s="5">
        <f>SUMIFS(Лист2!$E$2:$E$505,Лист2!$A$2:$A$505, Лист1!A91,Лист2!$B$2:$B$505,Лист1!B91)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2">
      <c r="A92" s="9">
        <v>43953</v>
      </c>
      <c r="B92" s="4" t="s">
        <v>13</v>
      </c>
      <c r="C92" s="16">
        <v>19461</v>
      </c>
      <c r="D92" s="16">
        <v>1799230.5</v>
      </c>
      <c r="E92" s="5">
        <f>SUMIFS(Лист2!$C$2:$C$505,Лист2!$A$2:$A$505, Лист1!A92,Лист2!$B$2:$B$505,Лист1!B92)</f>
        <v>19</v>
      </c>
      <c r="F92" s="5">
        <f>SUMIFS(Лист2!$D$2:$D$505,Лист2!$A$2:$A$505, Лист1!A92,Лист2!$B$2:$B$505,Лист1!B92)</f>
        <v>1217</v>
      </c>
      <c r="G92" s="5">
        <f>SUMIFS(Лист2!$E$2:$E$505,Лист2!$A$2:$A$505, Лист1!A92,Лист2!$B$2:$B$505,Лист1!B92)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2">
      <c r="A93" s="10">
        <v>43977</v>
      </c>
      <c r="B93" s="6" t="s">
        <v>13</v>
      </c>
      <c r="C93" s="17">
        <v>31407</v>
      </c>
      <c r="D93" s="17">
        <v>2907411</v>
      </c>
      <c r="E93" s="5">
        <f>SUMIFS(Лист2!$C$2:$C$505,Лист2!$A$2:$A$505, Лист1!A93,Лист2!$B$2:$B$505,Лист1!B93)</f>
        <v>20</v>
      </c>
      <c r="F93" s="5">
        <f>SUMIFS(Лист2!$D$2:$D$505,Лист2!$A$2:$A$505, Лист1!A93,Лист2!$B$2:$B$505,Лист1!B93)</f>
        <v>2036</v>
      </c>
      <c r="G93" s="5">
        <f>SUMIFS(Лист2!$E$2:$E$505,Лист2!$A$2:$A$505, Лист1!A93,Лист2!$B$2:$B$505,Лист1!B93)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2">
      <c r="A94" s="9">
        <v>43952</v>
      </c>
      <c r="B94" s="4" t="s">
        <v>13</v>
      </c>
      <c r="C94" s="16">
        <v>25792.5</v>
      </c>
      <c r="D94" s="16">
        <v>2374356</v>
      </c>
      <c r="E94" s="5">
        <f>SUMIFS(Лист2!$C$2:$C$505,Лист2!$A$2:$A$505, Лист1!A94,Лист2!$B$2:$B$505,Лист1!B94)</f>
        <v>19</v>
      </c>
      <c r="F94" s="5">
        <f>SUMIFS(Лист2!$D$2:$D$505,Лист2!$A$2:$A$505, Лист1!A94,Лист2!$B$2:$B$505,Лист1!B94)</f>
        <v>1497</v>
      </c>
      <c r="G94" s="5">
        <f>SUMIFS(Лист2!$E$2:$E$505,Лист2!$A$2:$A$505, Лист1!A94,Лист2!$B$2:$B$505,Лист1!B94)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2">
      <c r="A95" s="10">
        <v>43963</v>
      </c>
      <c r="B95" s="6" t="s">
        <v>13</v>
      </c>
      <c r="C95" s="17">
        <v>26032.5</v>
      </c>
      <c r="D95" s="17">
        <v>2370432</v>
      </c>
      <c r="E95" s="5">
        <f>SUMIFS(Лист2!$C$2:$C$505,Лист2!$A$2:$A$505, Лист1!A95,Лист2!$B$2:$B$505,Лист1!B95)</f>
        <v>19</v>
      </c>
      <c r="F95" s="5">
        <f>SUMIFS(Лист2!$D$2:$D$505,Лист2!$A$2:$A$505, Лист1!A95,Лист2!$B$2:$B$505,Лист1!B95)</f>
        <v>1649</v>
      </c>
      <c r="G95" s="5">
        <f>SUMIFS(Лист2!$E$2:$E$505,Лист2!$A$2:$A$505, Лист1!A95,Лист2!$B$2:$B$505,Лист1!B95)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2">
      <c r="A96" s="9">
        <v>43972</v>
      </c>
      <c r="B96" s="4" t="s">
        <v>13</v>
      </c>
      <c r="C96" s="16">
        <v>31707</v>
      </c>
      <c r="D96" s="16">
        <v>2853181.5</v>
      </c>
      <c r="E96" s="5">
        <f>SUMIFS(Лист2!$C$2:$C$505,Лист2!$A$2:$A$505, Лист1!A96,Лист2!$B$2:$B$505,Лист1!B96)</f>
        <v>19</v>
      </c>
      <c r="F96" s="5">
        <f>SUMIFS(Лист2!$D$2:$D$505,Лист2!$A$2:$A$505, Лист1!A96,Лист2!$B$2:$B$505,Лист1!B96)</f>
        <v>1949</v>
      </c>
      <c r="G96" s="5">
        <f>SUMIFS(Лист2!$E$2:$E$505,Лист2!$A$2:$A$505, Лист1!A96,Лист2!$B$2:$B$505,Лист1!B96)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2">
      <c r="A97" s="10">
        <v>43971</v>
      </c>
      <c r="B97" s="6" t="s">
        <v>13</v>
      </c>
      <c r="C97" s="17">
        <v>29955</v>
      </c>
      <c r="D97" s="17">
        <v>2692230</v>
      </c>
      <c r="E97" s="5">
        <f>SUMIFS(Лист2!$C$2:$C$505,Лист2!$A$2:$A$505, Лист1!A97,Лист2!$B$2:$B$505,Лист1!B97)</f>
        <v>19</v>
      </c>
      <c r="F97" s="5">
        <f>SUMIFS(Лист2!$D$2:$D$505,Лист2!$A$2:$A$505, Лист1!A97,Лист2!$B$2:$B$505,Лист1!B97)</f>
        <v>1889</v>
      </c>
      <c r="G97" s="5">
        <f>SUMIFS(Лист2!$E$2:$E$505,Лист2!$A$2:$A$505, Лист1!A97,Лист2!$B$2:$B$505,Лист1!B97)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2">
      <c r="A98" s="9">
        <v>43956</v>
      </c>
      <c r="B98" s="4" t="s">
        <v>13</v>
      </c>
      <c r="C98" s="16">
        <v>22848</v>
      </c>
      <c r="D98" s="16">
        <v>2079900</v>
      </c>
      <c r="E98" s="5">
        <f>SUMIFS(Лист2!$C$2:$C$505,Лист2!$A$2:$A$505, Лист1!A98,Лист2!$B$2:$B$505,Лист1!B98)</f>
        <v>19</v>
      </c>
      <c r="F98" s="5">
        <f>SUMIFS(Лист2!$D$2:$D$505,Лист2!$A$2:$A$505, Лист1!A98,Лист2!$B$2:$B$505,Лист1!B98)</f>
        <v>1417</v>
      </c>
      <c r="G98" s="5">
        <f>SUMIFS(Лист2!$E$2:$E$505,Лист2!$A$2:$A$505, Лист1!A98,Лист2!$B$2:$B$505,Лист1!B98)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2">
      <c r="A99" s="10">
        <v>43949</v>
      </c>
      <c r="B99" s="6" t="s">
        <v>13</v>
      </c>
      <c r="C99" s="17">
        <v>23314.5</v>
      </c>
      <c r="D99" s="17">
        <v>2136817.5</v>
      </c>
      <c r="E99" s="5">
        <f>SUMIFS(Лист2!$C$2:$C$505,Лист2!$A$2:$A$505, Лист1!A99,Лист2!$B$2:$B$505,Лист1!B99)</f>
        <v>17</v>
      </c>
      <c r="F99" s="5">
        <f>SUMIFS(Лист2!$D$2:$D$505,Лист2!$A$2:$A$505, Лист1!A99,Лист2!$B$2:$B$505,Лист1!B99)</f>
        <v>1439</v>
      </c>
      <c r="G99" s="5">
        <f>SUMIFS(Лист2!$E$2:$E$505,Лист2!$A$2:$A$505, Лист1!A99,Лист2!$B$2:$B$505,Лист1!B99)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2">
      <c r="A100" s="9">
        <v>43964</v>
      </c>
      <c r="B100" s="4" t="s">
        <v>13</v>
      </c>
      <c r="C100" s="16">
        <v>26464.5</v>
      </c>
      <c r="D100" s="16">
        <v>2373337.5</v>
      </c>
      <c r="E100" s="5">
        <f>SUMIFS(Лист2!$C$2:$C$505,Лист2!$A$2:$A$505, Лист1!A100,Лист2!$B$2:$B$505,Лист1!B100)</f>
        <v>19</v>
      </c>
      <c r="F100" s="5">
        <f>SUMIFS(Лист2!$D$2:$D$505,Лист2!$A$2:$A$505, Лист1!A100,Лист2!$B$2:$B$505,Лист1!B100)</f>
        <v>1625</v>
      </c>
      <c r="G100" s="5">
        <f>SUMIFS(Лист2!$E$2:$E$505,Лист2!$A$2:$A$505, Лист1!A100,Лист2!$B$2:$B$505,Лист1!B100)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2">
      <c r="A101" s="10">
        <v>43954</v>
      </c>
      <c r="B101" s="6" t="s">
        <v>13</v>
      </c>
      <c r="C101" s="17">
        <v>23539.5</v>
      </c>
      <c r="D101" s="17">
        <v>2170309.5</v>
      </c>
      <c r="E101" s="5">
        <f>SUMIFS(Лист2!$C$2:$C$505,Лист2!$A$2:$A$505, Лист1!A101,Лист2!$B$2:$B$505,Лист1!B101)</f>
        <v>19</v>
      </c>
      <c r="F101" s="5">
        <f>SUMIFS(Лист2!$D$2:$D$505,Лист2!$A$2:$A$505, Лист1!A101,Лист2!$B$2:$B$505,Лист1!B101)</f>
        <v>1402</v>
      </c>
      <c r="G101" s="5">
        <f>SUMIFS(Лист2!$E$2:$E$505,Лист2!$A$2:$A$505, Лист1!A101,Лист2!$B$2:$B$505,Лист1!B101)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2">
      <c r="A102" s="9">
        <v>43957</v>
      </c>
      <c r="B102" s="4" t="s">
        <v>13</v>
      </c>
      <c r="C102" s="16">
        <v>24678</v>
      </c>
      <c r="D102" s="16">
        <v>2232519</v>
      </c>
      <c r="E102" s="5">
        <f>SUMIFS(Лист2!$C$2:$C$505,Лист2!$A$2:$A$505, Лист1!A102,Лист2!$B$2:$B$505,Лист1!B102)</f>
        <v>19</v>
      </c>
      <c r="F102" s="5">
        <f>SUMIFS(Лист2!$D$2:$D$505,Лист2!$A$2:$A$505, Лист1!A102,Лист2!$B$2:$B$505,Лист1!B102)</f>
        <v>1499</v>
      </c>
      <c r="G102" s="5">
        <f>SUMIFS(Лист2!$E$2:$E$505,Лист2!$A$2:$A$505, Лист1!A102,Лист2!$B$2:$B$505,Лист1!B102)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2">
      <c r="A103" s="10">
        <v>43974</v>
      </c>
      <c r="B103" s="6" t="s">
        <v>13</v>
      </c>
      <c r="C103" s="17">
        <v>38176.5</v>
      </c>
      <c r="D103" s="17">
        <v>3385372.5</v>
      </c>
      <c r="E103" s="5">
        <f>SUMIFS(Лист2!$C$2:$C$505,Лист2!$A$2:$A$505, Лист1!A103,Лист2!$B$2:$B$505,Лист1!B103)</f>
        <v>20</v>
      </c>
      <c r="F103" s="5">
        <f>SUMIFS(Лист2!$D$2:$D$505,Лист2!$A$2:$A$505, Лист1!A103,Лист2!$B$2:$B$505,Лист1!B103)</f>
        <v>2266</v>
      </c>
      <c r="G103" s="5">
        <f>SUMIFS(Лист2!$E$2:$E$505,Лист2!$A$2:$A$505, Лист1!A103,Лист2!$B$2:$B$505,Лист1!B103)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2">
      <c r="A104" s="9">
        <v>43976</v>
      </c>
      <c r="B104" s="4" t="s">
        <v>13</v>
      </c>
      <c r="C104" s="16">
        <v>30603</v>
      </c>
      <c r="D104" s="16">
        <v>2865727.5</v>
      </c>
      <c r="E104" s="5">
        <f>SUMIFS(Лист2!$C$2:$C$505,Лист2!$A$2:$A$505, Лист1!A104,Лист2!$B$2:$B$505,Лист1!B104)</f>
        <v>20</v>
      </c>
      <c r="F104" s="5">
        <f>SUMIFS(Лист2!$D$2:$D$505,Лист2!$A$2:$A$505, Лист1!A104,Лист2!$B$2:$B$505,Лист1!B104)</f>
        <v>2011</v>
      </c>
      <c r="G104" s="5">
        <f>SUMIFS(Лист2!$E$2:$E$505,Лист2!$A$2:$A$505, Лист1!A104,Лист2!$B$2:$B$505,Лист1!B104)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2">
      <c r="A105" s="10">
        <v>43951</v>
      </c>
      <c r="B105" s="6" t="s">
        <v>13</v>
      </c>
      <c r="C105" s="17">
        <v>24211.5</v>
      </c>
      <c r="D105" s="17">
        <v>2267664</v>
      </c>
      <c r="E105" s="5">
        <f>SUMIFS(Лист2!$C$2:$C$505,Лист2!$A$2:$A$505, Лист1!A105,Лист2!$B$2:$B$505,Лист1!B105)</f>
        <v>19</v>
      </c>
      <c r="F105" s="5">
        <f>SUMIFS(Лист2!$D$2:$D$505,Лист2!$A$2:$A$505, Лист1!A105,Лист2!$B$2:$B$505,Лист1!B105)</f>
        <v>1499</v>
      </c>
      <c r="G105" s="5">
        <f>SUMIFS(Лист2!$E$2:$E$505,Лист2!$A$2:$A$505, Лист1!A105,Лист2!$B$2:$B$505,Лист1!B105)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2">
      <c r="A106" s="9">
        <v>43961</v>
      </c>
      <c r="B106" s="4" t="s">
        <v>13</v>
      </c>
      <c r="C106" s="16">
        <v>31399.5</v>
      </c>
      <c r="D106" s="16">
        <v>2862298.5</v>
      </c>
      <c r="E106" s="5">
        <f>SUMIFS(Лист2!$C$2:$C$505,Лист2!$A$2:$A$505, Лист1!A106,Лист2!$B$2:$B$505,Лист1!B106)</f>
        <v>19</v>
      </c>
      <c r="F106" s="5">
        <f>SUMIFS(Лист2!$D$2:$D$505,Лист2!$A$2:$A$505, Лист1!A106,Лист2!$B$2:$B$505,Лист1!B106)</f>
        <v>1848</v>
      </c>
      <c r="G106" s="5">
        <f>SUMIFS(Лист2!$E$2:$E$505,Лист2!$A$2:$A$505, Лист1!A106,Лист2!$B$2:$B$505,Лист1!B106)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2">
      <c r="A107" s="10">
        <v>43959</v>
      </c>
      <c r="B107" s="6" t="s">
        <v>13</v>
      </c>
      <c r="C107" s="17">
        <v>25294.5</v>
      </c>
      <c r="D107" s="17">
        <v>2271454.5</v>
      </c>
      <c r="E107" s="5">
        <f>SUMIFS(Лист2!$C$2:$C$505,Лист2!$A$2:$A$505, Лист1!A107,Лист2!$B$2:$B$505,Лист1!B107)</f>
        <v>19</v>
      </c>
      <c r="F107" s="5">
        <f>SUMIFS(Лист2!$D$2:$D$505,Лист2!$A$2:$A$505, Лист1!A107,Лист2!$B$2:$B$505,Лист1!B107)</f>
        <v>1522</v>
      </c>
      <c r="G107" s="5">
        <f>SUMIFS(Лист2!$E$2:$E$505,Лист2!$A$2:$A$505, Лист1!A107,Лист2!$B$2:$B$505,Лист1!B107)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2">
      <c r="A108" s="9">
        <v>43958</v>
      </c>
      <c r="B108" s="4" t="s">
        <v>13</v>
      </c>
      <c r="C108" s="16">
        <v>25468.5</v>
      </c>
      <c r="D108" s="16">
        <v>2350672.5</v>
      </c>
      <c r="E108" s="5">
        <f>SUMIFS(Лист2!$C$2:$C$505,Лист2!$A$2:$A$505, Лист1!A108,Лист2!$B$2:$B$505,Лист1!B108)</f>
        <v>19</v>
      </c>
      <c r="F108" s="5">
        <f>SUMIFS(Лист2!$D$2:$D$505,Лист2!$A$2:$A$505, Лист1!A108,Лист2!$B$2:$B$505,Лист1!B108)</f>
        <v>1530</v>
      </c>
      <c r="G108" s="5">
        <f>SUMIFS(Лист2!$E$2:$E$505,Лист2!$A$2:$A$505, Лист1!A108,Лист2!$B$2:$B$505,Лист1!B108)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2">
      <c r="A109" s="10">
        <v>43975</v>
      </c>
      <c r="B109" s="6" t="s">
        <v>13</v>
      </c>
      <c r="C109" s="17">
        <v>31854</v>
      </c>
      <c r="D109" s="17">
        <v>2915533.5</v>
      </c>
      <c r="E109" s="5">
        <f>SUMIFS(Лист2!$C$2:$C$505,Лист2!$A$2:$A$505, Лист1!A109,Лист2!$B$2:$B$505,Лист1!B109)</f>
        <v>20</v>
      </c>
      <c r="F109" s="5">
        <f>SUMIFS(Лист2!$D$2:$D$505,Лист2!$A$2:$A$505, Лист1!A109,Лист2!$B$2:$B$505,Лист1!B109)</f>
        <v>2015</v>
      </c>
      <c r="G109" s="5">
        <f>SUMIFS(Лист2!$E$2:$E$505,Лист2!$A$2:$A$505, Лист1!A109,Лист2!$B$2:$B$505,Лист1!B109)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2">
      <c r="A110" s="9">
        <v>43982</v>
      </c>
      <c r="B110" s="4" t="s">
        <v>13</v>
      </c>
      <c r="C110" s="16">
        <v>32359.5</v>
      </c>
      <c r="D110" s="16">
        <v>2991999</v>
      </c>
      <c r="E110" s="5">
        <f>SUMIFS(Лист2!$C$2:$C$505,Лист2!$A$2:$A$505, Лист1!A110,Лист2!$B$2:$B$505,Лист1!B110)</f>
        <v>20</v>
      </c>
      <c r="F110" s="5">
        <f>SUMIFS(Лист2!$D$2:$D$505,Лист2!$A$2:$A$505, Лист1!A110,Лист2!$B$2:$B$505,Лист1!B110)</f>
        <v>2060</v>
      </c>
      <c r="G110" s="5">
        <f>SUMIFS(Лист2!$E$2:$E$505,Лист2!$A$2:$A$505, Лист1!A110,Лист2!$B$2:$B$505,Лист1!B110)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2">
      <c r="A111" s="10">
        <v>43981</v>
      </c>
      <c r="B111" s="6" t="s">
        <v>13</v>
      </c>
      <c r="C111" s="17">
        <v>39867</v>
      </c>
      <c r="D111" s="17">
        <v>3654166.5</v>
      </c>
      <c r="E111" s="5">
        <f>SUMIFS(Лист2!$C$2:$C$505,Лист2!$A$2:$A$505, Лист1!A111,Лист2!$B$2:$B$505,Лист1!B111)</f>
        <v>20</v>
      </c>
      <c r="F111" s="5">
        <f>SUMIFS(Лист2!$D$2:$D$505,Лист2!$A$2:$A$505, Лист1!A111,Лист2!$B$2:$B$505,Лист1!B111)</f>
        <v>2451</v>
      </c>
      <c r="G111" s="5">
        <f>SUMIFS(Лист2!$E$2:$E$505,Лист2!$A$2:$A$505, Лист1!A111,Лист2!$B$2:$B$505,Лист1!B111)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2">
      <c r="A112" s="9">
        <v>43979</v>
      </c>
      <c r="B112" s="4" t="s">
        <v>13</v>
      </c>
      <c r="C112" s="16">
        <v>31974</v>
      </c>
      <c r="D112" s="16">
        <v>3004213.5</v>
      </c>
      <c r="E112" s="5">
        <f>SUMIFS(Лист2!$C$2:$C$505,Лист2!$A$2:$A$505, Лист1!A112,Лист2!$B$2:$B$505,Лист1!B112)</f>
        <v>20</v>
      </c>
      <c r="F112" s="5">
        <f>SUMIFS(Лист2!$D$2:$D$505,Лист2!$A$2:$A$505, Лист1!A112,Лист2!$B$2:$B$505,Лист1!B112)</f>
        <v>2088</v>
      </c>
      <c r="G112" s="5">
        <f>SUMIFS(Лист2!$E$2:$E$505,Лист2!$A$2:$A$505, Лист1!A112,Лист2!$B$2:$B$505,Лист1!B112)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2">
      <c r="A113" s="10">
        <v>43967</v>
      </c>
      <c r="B113" s="6" t="s">
        <v>14</v>
      </c>
      <c r="C113" s="17">
        <v>321412.5</v>
      </c>
      <c r="D113" s="17">
        <v>32235864</v>
      </c>
      <c r="E113" s="5">
        <f>SUMIFS(Лист2!$C$2:$C$505,Лист2!$A$2:$A$505, Лист1!A113,Лист2!$B$2:$B$505,Лист1!B113)</f>
        <v>129</v>
      </c>
      <c r="F113" s="5">
        <f>SUMIFS(Лист2!$D$2:$D$505,Лист2!$A$2:$A$505, Лист1!A113,Лист2!$B$2:$B$505,Лист1!B113)</f>
        <v>17914</v>
      </c>
      <c r="G113" s="5">
        <f>SUMIFS(Лист2!$E$2:$E$505,Лист2!$A$2:$A$505, Лист1!A113,Лист2!$B$2:$B$505,Лист1!B113)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2">
      <c r="A114" s="9">
        <v>43970</v>
      </c>
      <c r="B114" s="4" t="s">
        <v>14</v>
      </c>
      <c r="C114" s="16">
        <v>276568.5</v>
      </c>
      <c r="D114" s="16">
        <v>27093624</v>
      </c>
      <c r="E114" s="5">
        <f>SUMIFS(Лист2!$C$2:$C$505,Лист2!$A$2:$A$505, Лист1!A114,Лист2!$B$2:$B$505,Лист1!B114)</f>
        <v>129</v>
      </c>
      <c r="F114" s="5">
        <f>SUMIFS(Лист2!$D$2:$D$505,Лист2!$A$2:$A$505, Лист1!A114,Лист2!$B$2:$B$505,Лист1!B114)</f>
        <v>16191</v>
      </c>
      <c r="G114" s="5">
        <f>SUMIFS(Лист2!$E$2:$E$505,Лист2!$A$2:$A$505, Лист1!A114,Лист2!$B$2:$B$505,Лист1!B114)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2">
      <c r="A115" s="10">
        <v>43968</v>
      </c>
      <c r="B115" s="6" t="s">
        <v>14</v>
      </c>
      <c r="C115" s="17">
        <v>269029.5</v>
      </c>
      <c r="D115" s="17">
        <v>26659930.5</v>
      </c>
      <c r="E115" s="5">
        <f>SUMIFS(Лист2!$C$2:$C$505,Лист2!$A$2:$A$505, Лист1!A115,Лист2!$B$2:$B$505,Лист1!B115)</f>
        <v>129</v>
      </c>
      <c r="F115" s="5">
        <f>SUMIFS(Лист2!$D$2:$D$505,Лист2!$A$2:$A$505, Лист1!A115,Лист2!$B$2:$B$505,Лист1!B115)</f>
        <v>15744</v>
      </c>
      <c r="G115" s="5">
        <f>SUMIFS(Лист2!$E$2:$E$505,Лист2!$A$2:$A$505, Лист1!A115,Лист2!$B$2:$B$505,Лист1!B115)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2">
      <c r="A116" s="9">
        <v>43960</v>
      </c>
      <c r="B116" s="4" t="s">
        <v>14</v>
      </c>
      <c r="C116" s="16">
        <v>285972</v>
      </c>
      <c r="D116" s="16">
        <v>29768199</v>
      </c>
      <c r="E116" s="5">
        <f>SUMIFS(Лист2!$C$2:$C$505,Лист2!$A$2:$A$505, Лист1!A116,Лист2!$B$2:$B$505,Лист1!B116)</f>
        <v>129</v>
      </c>
      <c r="F116" s="5">
        <f>SUMIFS(Лист2!$D$2:$D$505,Лист2!$A$2:$A$505, Лист1!A116,Лист2!$B$2:$B$505,Лист1!B116)</f>
        <v>16420</v>
      </c>
      <c r="G116" s="5">
        <f>SUMIFS(Лист2!$E$2:$E$505,Лист2!$A$2:$A$505, Лист1!A116,Лист2!$B$2:$B$505,Лист1!B116)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2">
      <c r="A117" s="10">
        <v>43955</v>
      </c>
      <c r="B117" s="6" t="s">
        <v>14</v>
      </c>
      <c r="C117" s="17">
        <v>283942.5</v>
      </c>
      <c r="D117" s="17">
        <v>29357940</v>
      </c>
      <c r="E117" s="5">
        <f>SUMIFS(Лист2!$C$2:$C$505,Лист2!$A$2:$A$505, Лист1!A117,Лист2!$B$2:$B$505,Лист1!B117)</f>
        <v>129</v>
      </c>
      <c r="F117" s="5">
        <f>SUMIFS(Лист2!$D$2:$D$505,Лист2!$A$2:$A$505, Лист1!A117,Лист2!$B$2:$B$505,Лист1!B117)</f>
        <v>16525</v>
      </c>
      <c r="G117" s="5">
        <f>SUMIFS(Лист2!$E$2:$E$505,Лист2!$A$2:$A$505, Лист1!A117,Лист2!$B$2:$B$505,Лист1!B117)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2">
      <c r="A118" s="9">
        <v>43950</v>
      </c>
      <c r="B118" s="4" t="s">
        <v>14</v>
      </c>
      <c r="C118" s="16">
        <v>298059</v>
      </c>
      <c r="D118" s="16">
        <v>30869287.5</v>
      </c>
      <c r="E118" s="5">
        <f>SUMIFS(Лист2!$C$2:$C$505,Лист2!$A$2:$A$505, Лист1!A118,Лист2!$B$2:$B$505,Лист1!B118)</f>
        <v>128</v>
      </c>
      <c r="F118" s="5">
        <f>SUMIFS(Лист2!$D$2:$D$505,Лист2!$A$2:$A$505, Лист1!A118,Лист2!$B$2:$B$505,Лист1!B118)</f>
        <v>17368</v>
      </c>
      <c r="G118" s="5">
        <f>SUMIFS(Лист2!$E$2:$E$505,Лист2!$A$2:$A$505, Лист1!A118,Лист2!$B$2:$B$505,Лист1!B118)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2">
      <c r="A119" s="10">
        <v>43953</v>
      </c>
      <c r="B119" s="6" t="s">
        <v>14</v>
      </c>
      <c r="C119" s="17">
        <v>232903.5</v>
      </c>
      <c r="D119" s="17">
        <v>24342016.5</v>
      </c>
      <c r="E119" s="5">
        <f>SUMIFS(Лист2!$C$2:$C$505,Лист2!$A$2:$A$505, Лист1!A119,Лист2!$B$2:$B$505,Лист1!B119)</f>
        <v>129</v>
      </c>
      <c r="F119" s="5">
        <f>SUMIFS(Лист2!$D$2:$D$505,Лист2!$A$2:$A$505, Лист1!A119,Лист2!$B$2:$B$505,Лист1!B119)</f>
        <v>14009</v>
      </c>
      <c r="G119" s="5">
        <f>SUMIFS(Лист2!$E$2:$E$505,Лист2!$A$2:$A$505, Лист1!A119,Лист2!$B$2:$B$505,Лист1!B119)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2">
      <c r="A120" s="9">
        <v>43977</v>
      </c>
      <c r="B120" s="4" t="s">
        <v>14</v>
      </c>
      <c r="C120" s="16">
        <v>276966</v>
      </c>
      <c r="D120" s="16">
        <v>27872617.898850001</v>
      </c>
      <c r="E120" s="5">
        <f>SUMIFS(Лист2!$C$2:$C$505,Лист2!$A$2:$A$505, Лист1!A120,Лист2!$B$2:$B$505,Лист1!B120)</f>
        <v>129</v>
      </c>
      <c r="F120" s="5">
        <f>SUMIFS(Лист2!$D$2:$D$505,Лист2!$A$2:$A$505, Лист1!A120,Лист2!$B$2:$B$505,Лист1!B120)</f>
        <v>16459</v>
      </c>
      <c r="G120" s="5">
        <f>SUMIFS(Лист2!$E$2:$E$505,Лист2!$A$2:$A$505, Лист1!A120,Лист2!$B$2:$B$505,Лист1!B120)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2">
      <c r="A121" s="10">
        <v>43952</v>
      </c>
      <c r="B121" s="6" t="s">
        <v>14</v>
      </c>
      <c r="C121" s="17">
        <v>296149.5</v>
      </c>
      <c r="D121" s="17">
        <v>31053316.5</v>
      </c>
      <c r="E121" s="5">
        <f>SUMIFS(Лист2!$C$2:$C$505,Лист2!$A$2:$A$505, Лист1!A121,Лист2!$B$2:$B$505,Лист1!B121)</f>
        <v>129</v>
      </c>
      <c r="F121" s="5">
        <f>SUMIFS(Лист2!$D$2:$D$505,Лист2!$A$2:$A$505, Лист1!A121,Лист2!$B$2:$B$505,Лист1!B121)</f>
        <v>17002</v>
      </c>
      <c r="G121" s="5">
        <f>SUMIFS(Лист2!$E$2:$E$505,Лист2!$A$2:$A$505, Лист1!A121,Лист2!$B$2:$B$505,Лист1!B121)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2">
      <c r="A122" s="9">
        <v>43963</v>
      </c>
      <c r="B122" s="4" t="s">
        <v>14</v>
      </c>
      <c r="C122" s="16">
        <v>281796</v>
      </c>
      <c r="D122" s="16">
        <v>29042520</v>
      </c>
      <c r="E122" s="5">
        <f>SUMIFS(Лист2!$C$2:$C$505,Лист2!$A$2:$A$505, Лист1!A122,Лист2!$B$2:$B$505,Лист1!B122)</f>
        <v>129</v>
      </c>
      <c r="F122" s="5">
        <f>SUMIFS(Лист2!$D$2:$D$505,Лист2!$A$2:$A$505, Лист1!A122,Лист2!$B$2:$B$505,Лист1!B122)</f>
        <v>16387</v>
      </c>
      <c r="G122" s="5">
        <f>SUMIFS(Лист2!$E$2:$E$505,Лист2!$A$2:$A$505, Лист1!A122,Лист2!$B$2:$B$505,Лист1!B122)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2">
      <c r="A123" s="10">
        <v>43972</v>
      </c>
      <c r="B123" s="6" t="s">
        <v>14</v>
      </c>
      <c r="C123" s="17">
        <v>288936</v>
      </c>
      <c r="D123" s="17">
        <v>27852900</v>
      </c>
      <c r="E123" s="5">
        <f>SUMIFS(Лист2!$C$2:$C$505,Лист2!$A$2:$A$505, Лист1!A123,Лист2!$B$2:$B$505,Лист1!B123)</f>
        <v>129</v>
      </c>
      <c r="F123" s="5">
        <f>SUMIFS(Лист2!$D$2:$D$505,Лист2!$A$2:$A$505, Лист1!A123,Лист2!$B$2:$B$505,Лист1!B123)</f>
        <v>16373</v>
      </c>
      <c r="G123" s="5">
        <f>SUMIFS(Лист2!$E$2:$E$505,Лист2!$A$2:$A$505, Лист1!A123,Лист2!$B$2:$B$505,Лист1!B123)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2">
      <c r="A124" s="9">
        <v>43971</v>
      </c>
      <c r="B124" s="4" t="s">
        <v>14</v>
      </c>
      <c r="C124" s="16">
        <v>300151.5</v>
      </c>
      <c r="D124" s="16">
        <v>29368771.617449999</v>
      </c>
      <c r="E124" s="5">
        <f>SUMIFS(Лист2!$C$2:$C$505,Лист2!$A$2:$A$505, Лист1!A124,Лист2!$B$2:$B$505,Лист1!B124)</f>
        <v>129</v>
      </c>
      <c r="F124" s="5">
        <f>SUMIFS(Лист2!$D$2:$D$505,Лист2!$A$2:$A$505, Лист1!A124,Лист2!$B$2:$B$505,Лист1!B124)</f>
        <v>17095</v>
      </c>
      <c r="G124" s="5">
        <f>SUMIFS(Лист2!$E$2:$E$505,Лист2!$A$2:$A$505, Лист1!A124,Лист2!$B$2:$B$505,Лист1!B124)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2">
      <c r="A125" s="10">
        <v>43956</v>
      </c>
      <c r="B125" s="6" t="s">
        <v>14</v>
      </c>
      <c r="C125" s="17">
        <v>262734</v>
      </c>
      <c r="D125" s="17">
        <v>27278441.145</v>
      </c>
      <c r="E125" s="5">
        <f>SUMIFS(Лист2!$C$2:$C$505,Лист2!$A$2:$A$505, Лист1!A125,Лист2!$B$2:$B$505,Лист1!B125)</f>
        <v>129</v>
      </c>
      <c r="F125" s="5">
        <f>SUMIFS(Лист2!$D$2:$D$505,Лист2!$A$2:$A$505, Лист1!A125,Лист2!$B$2:$B$505,Лист1!B125)</f>
        <v>15665</v>
      </c>
      <c r="G125" s="5">
        <f>SUMIFS(Лист2!$E$2:$E$505,Лист2!$A$2:$A$505, Лист1!A125,Лист2!$B$2:$B$505,Лист1!B125)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2">
      <c r="A126" s="9">
        <v>43949</v>
      </c>
      <c r="B126" s="4" t="s">
        <v>14</v>
      </c>
      <c r="C126" s="16">
        <v>286002</v>
      </c>
      <c r="D126" s="16">
        <v>29159032.5</v>
      </c>
      <c r="E126" s="5">
        <f>SUMIFS(Лист2!$C$2:$C$505,Лист2!$A$2:$A$505, Лист1!A126,Лист2!$B$2:$B$505,Лист1!B126)</f>
        <v>128</v>
      </c>
      <c r="F126" s="5">
        <f>SUMIFS(Лист2!$D$2:$D$505,Лист2!$A$2:$A$505, Лист1!A126,Лист2!$B$2:$B$505,Лист1!B126)</f>
        <v>16450</v>
      </c>
      <c r="G126" s="5">
        <f>SUMIFS(Лист2!$E$2:$E$505,Лист2!$A$2:$A$505, Лист1!A126,Лист2!$B$2:$B$505,Лист1!B126)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2">
      <c r="A127" s="10">
        <v>43964</v>
      </c>
      <c r="B127" s="6" t="s">
        <v>14</v>
      </c>
      <c r="C127" s="17">
        <v>258459</v>
      </c>
      <c r="D127" s="17">
        <v>26467453.5</v>
      </c>
      <c r="E127" s="5">
        <f>SUMIFS(Лист2!$C$2:$C$505,Лист2!$A$2:$A$505, Лист1!A127,Лист2!$B$2:$B$505,Лист1!B127)</f>
        <v>129</v>
      </c>
      <c r="F127" s="5">
        <f>SUMIFS(Лист2!$D$2:$D$505,Лист2!$A$2:$A$505, Лист1!A127,Лист2!$B$2:$B$505,Лист1!B127)</f>
        <v>15304</v>
      </c>
      <c r="G127" s="5">
        <f>SUMIFS(Лист2!$E$2:$E$505,Лист2!$A$2:$A$505, Лист1!A127,Лист2!$B$2:$B$505,Лист1!B127)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2">
      <c r="A128" s="9">
        <v>43954</v>
      </c>
      <c r="B128" s="4" t="s">
        <v>14</v>
      </c>
      <c r="C128" s="16">
        <v>274083</v>
      </c>
      <c r="D128" s="16">
        <v>28427001</v>
      </c>
      <c r="E128" s="5">
        <f>SUMIFS(Лист2!$C$2:$C$505,Лист2!$A$2:$A$505, Лист1!A128,Лист2!$B$2:$B$505,Лист1!B128)</f>
        <v>129</v>
      </c>
      <c r="F128" s="5">
        <f>SUMIFS(Лист2!$D$2:$D$505,Лист2!$A$2:$A$505, Лист1!A128,Лист2!$B$2:$B$505,Лист1!B128)</f>
        <v>15778</v>
      </c>
      <c r="G128" s="5">
        <f>SUMIFS(Лист2!$E$2:$E$505,Лист2!$A$2:$A$505, Лист1!A128,Лист2!$B$2:$B$505,Лист1!B128)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2">
      <c r="A129" s="10">
        <v>43957</v>
      </c>
      <c r="B129" s="6" t="s">
        <v>14</v>
      </c>
      <c r="C129" s="17">
        <v>277512</v>
      </c>
      <c r="D129" s="17">
        <v>28770810.105599999</v>
      </c>
      <c r="E129" s="5">
        <f>SUMIFS(Лист2!$C$2:$C$505,Лист2!$A$2:$A$505, Лист1!A129,Лист2!$B$2:$B$505,Лист1!B129)</f>
        <v>129</v>
      </c>
      <c r="F129" s="5">
        <f>SUMIFS(Лист2!$D$2:$D$505,Лист2!$A$2:$A$505, Лист1!A129,Лист2!$B$2:$B$505,Лист1!B129)</f>
        <v>16376</v>
      </c>
      <c r="G129" s="5">
        <f>SUMIFS(Лист2!$E$2:$E$505,Лист2!$A$2:$A$505, Лист1!A129,Лист2!$B$2:$B$505,Лист1!B129)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2">
      <c r="A130" s="9">
        <v>43974</v>
      </c>
      <c r="B130" s="4" t="s">
        <v>14</v>
      </c>
      <c r="C130" s="16">
        <v>356982</v>
      </c>
      <c r="D130" s="16">
        <v>35103926.711549997</v>
      </c>
      <c r="E130" s="5">
        <f>SUMIFS(Лист2!$C$2:$C$505,Лист2!$A$2:$A$505, Лист1!A130,Лист2!$B$2:$B$505,Лист1!B130)</f>
        <v>129</v>
      </c>
      <c r="F130" s="5">
        <f>SUMIFS(Лист2!$D$2:$D$505,Лист2!$A$2:$A$505, Лист1!A130,Лист2!$B$2:$B$505,Лист1!B130)</f>
        <v>19856</v>
      </c>
      <c r="G130" s="5">
        <f>SUMIFS(Лист2!$E$2:$E$505,Лист2!$A$2:$A$505, Лист1!A130,Лист2!$B$2:$B$505,Лист1!B130)</f>
        <v>18325</v>
      </c>
      <c r="H130">
        <f t="shared" ref="H130:H193" si="4">D130 / E130</f>
        <v>272123.46288023255</v>
      </c>
      <c r="I130">
        <f t="shared" si="3"/>
        <v>21</v>
      </c>
    </row>
    <row r="131" spans="1:9" ht="14.25" customHeight="1" x14ac:dyDescent="0.2">
      <c r="A131" s="10">
        <v>43976</v>
      </c>
      <c r="B131" s="6" t="s">
        <v>14</v>
      </c>
      <c r="C131" s="17">
        <v>266983.5</v>
      </c>
      <c r="D131" s="17">
        <v>27165913.5</v>
      </c>
      <c r="E131" s="5">
        <f>SUMIFS(Лист2!$C$2:$C$505,Лист2!$A$2:$A$505, Лист1!A131,Лист2!$B$2:$B$505,Лист1!B131)</f>
        <v>129</v>
      </c>
      <c r="F131" s="5">
        <f>SUMIFS(Лист2!$D$2:$D$505,Лист2!$A$2:$A$505, Лист1!A131,Лист2!$B$2:$B$505,Лист1!B131)</f>
        <v>15822</v>
      </c>
      <c r="G131" s="5">
        <f>SUMIFS(Лист2!$E$2:$E$505,Лист2!$A$2:$A$505, Лист1!A131,Лист2!$B$2:$B$505,Лист1!B131)</f>
        <v>14753</v>
      </c>
      <c r="H131">
        <f t="shared" si="4"/>
        <v>210588.47674418605</v>
      </c>
      <c r="I131">
        <f t="shared" ref="I131:I194" si="5">WEEKNUM(A131,2)</f>
        <v>22</v>
      </c>
    </row>
    <row r="132" spans="1:9" ht="14.25" customHeight="1" x14ac:dyDescent="0.2">
      <c r="A132" s="9">
        <v>43951</v>
      </c>
      <c r="B132" s="4" t="s">
        <v>14</v>
      </c>
      <c r="C132" s="16">
        <v>311131.5</v>
      </c>
      <c r="D132" s="16">
        <v>32418879</v>
      </c>
      <c r="E132" s="5">
        <f>SUMIFS(Лист2!$C$2:$C$505,Лист2!$A$2:$A$505, Лист1!A132,Лист2!$B$2:$B$505,Лист1!B132)</f>
        <v>129</v>
      </c>
      <c r="F132" s="5">
        <f>SUMIFS(Лист2!$D$2:$D$505,Лист2!$A$2:$A$505, Лист1!A132,Лист2!$B$2:$B$505,Лист1!B132)</f>
        <v>18042</v>
      </c>
      <c r="G132" s="5">
        <f>SUMIFS(Лист2!$E$2:$E$505,Лист2!$A$2:$A$505, Лист1!A132,Лист2!$B$2:$B$505,Лист1!B132)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2">
      <c r="A133" s="10">
        <v>43961</v>
      </c>
      <c r="B133" s="6" t="s">
        <v>14</v>
      </c>
      <c r="C133" s="17">
        <v>287206.5</v>
      </c>
      <c r="D133" s="17">
        <v>29536176.10605</v>
      </c>
      <c r="E133" s="5">
        <f>SUMIFS(Лист2!$C$2:$C$505,Лист2!$A$2:$A$505, Лист1!A133,Лист2!$B$2:$B$505,Лист1!B133)</f>
        <v>129</v>
      </c>
      <c r="F133" s="5">
        <f>SUMIFS(Лист2!$D$2:$D$505,Лист2!$A$2:$A$505, Лист1!A133,Лист2!$B$2:$B$505,Лист1!B133)</f>
        <v>16437</v>
      </c>
      <c r="G133" s="5">
        <f>SUMIFS(Лист2!$E$2:$E$505,Лист2!$A$2:$A$505, Лист1!A133,Лист2!$B$2:$B$505,Лист1!B133)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2">
      <c r="A134" s="9">
        <v>43959</v>
      </c>
      <c r="B134" s="4" t="s">
        <v>14</v>
      </c>
      <c r="C134" s="16">
        <v>370092</v>
      </c>
      <c r="D134" s="16">
        <v>38091556.5</v>
      </c>
      <c r="E134" s="5">
        <f>SUMIFS(Лист2!$C$2:$C$505,Лист2!$A$2:$A$505, Лист1!A134,Лист2!$B$2:$B$505,Лист1!B134)</f>
        <v>129</v>
      </c>
      <c r="F134" s="5">
        <f>SUMIFS(Лист2!$D$2:$D$505,Лист2!$A$2:$A$505, Лист1!A134,Лист2!$B$2:$B$505,Лист1!B134)</f>
        <v>20452</v>
      </c>
      <c r="G134" s="5">
        <f>SUMIFS(Лист2!$E$2:$E$505,Лист2!$A$2:$A$505, Лист1!A134,Лист2!$B$2:$B$505,Лист1!B134)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2">
      <c r="A135" s="10">
        <v>43958</v>
      </c>
      <c r="B135" s="6" t="s">
        <v>14</v>
      </c>
      <c r="C135" s="17">
        <v>247813.5</v>
      </c>
      <c r="D135" s="17">
        <v>25325271</v>
      </c>
      <c r="E135" s="5">
        <f>SUMIFS(Лист2!$C$2:$C$505,Лист2!$A$2:$A$505, Лист1!A135,Лист2!$B$2:$B$505,Лист1!B135)</f>
        <v>129</v>
      </c>
      <c r="F135" s="5">
        <f>SUMIFS(Лист2!$D$2:$D$505,Лист2!$A$2:$A$505, Лист1!A135,Лист2!$B$2:$B$505,Лист1!B135)</f>
        <v>14582</v>
      </c>
      <c r="G135" s="5">
        <f>SUMIFS(Лист2!$E$2:$E$505,Лист2!$A$2:$A$505, Лист1!A135,Лист2!$B$2:$B$505,Лист1!B135)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2">
      <c r="A136" s="9">
        <v>43975</v>
      </c>
      <c r="B136" s="4" t="s">
        <v>14</v>
      </c>
      <c r="C136" s="16">
        <v>287740.5</v>
      </c>
      <c r="D136" s="16">
        <v>28188534</v>
      </c>
      <c r="E136" s="5">
        <f>SUMIFS(Лист2!$C$2:$C$505,Лист2!$A$2:$A$505, Лист1!A136,Лист2!$B$2:$B$505,Лист1!B136)</f>
        <v>129</v>
      </c>
      <c r="F136" s="5">
        <f>SUMIFS(Лист2!$D$2:$D$505,Лист2!$A$2:$A$505, Лист1!A136,Лист2!$B$2:$B$505,Лист1!B136)</f>
        <v>16432</v>
      </c>
      <c r="G136" s="5">
        <f>SUMIFS(Лист2!$E$2:$E$505,Лист2!$A$2:$A$505, Лист1!A136,Лист2!$B$2:$B$505,Лист1!B136)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2">
      <c r="A137" s="10">
        <v>43967</v>
      </c>
      <c r="B137" s="6" t="s">
        <v>15</v>
      </c>
      <c r="C137" s="17">
        <v>408810</v>
      </c>
      <c r="D137" s="17">
        <v>42323631</v>
      </c>
      <c r="E137" s="5">
        <f>SUMIFS(Лист2!$C$2:$C$505,Лист2!$A$2:$A$505, Лист1!A137,Лист2!$B$2:$B$505,Лист1!B137)</f>
        <v>125</v>
      </c>
      <c r="F137" s="5">
        <f>SUMIFS(Лист2!$D$2:$D$505,Лист2!$A$2:$A$505, Лист1!A137,Лист2!$B$2:$B$505,Лист1!B137)</f>
        <v>22291</v>
      </c>
      <c r="G137" s="5">
        <f>SUMIFS(Лист2!$E$2:$E$505,Лист2!$A$2:$A$505, Лист1!A137,Лист2!$B$2:$B$505,Лист1!B137)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2">
      <c r="A138" s="9">
        <v>43970</v>
      </c>
      <c r="B138" s="4" t="s">
        <v>15</v>
      </c>
      <c r="C138" s="16">
        <v>362536.5</v>
      </c>
      <c r="D138" s="16">
        <v>37023243</v>
      </c>
      <c r="E138" s="5">
        <f>SUMIFS(Лист2!$C$2:$C$505,Лист2!$A$2:$A$505, Лист1!A138,Лист2!$B$2:$B$505,Лист1!B138)</f>
        <v>125</v>
      </c>
      <c r="F138" s="5">
        <f>SUMIFS(Лист2!$D$2:$D$505,Лист2!$A$2:$A$505, Лист1!A138,Лист2!$B$2:$B$505,Лист1!B138)</f>
        <v>20771</v>
      </c>
      <c r="G138" s="5">
        <f>SUMIFS(Лист2!$E$2:$E$505,Лист2!$A$2:$A$505, Лист1!A138,Лист2!$B$2:$B$505,Лист1!B138)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2">
      <c r="A139" s="10">
        <v>43968</v>
      </c>
      <c r="B139" s="6" t="s">
        <v>15</v>
      </c>
      <c r="C139" s="17">
        <v>357072</v>
      </c>
      <c r="D139" s="17">
        <v>36834567</v>
      </c>
      <c r="E139" s="5">
        <f>SUMIFS(Лист2!$C$2:$C$505,Лист2!$A$2:$A$505, Лист1!A139,Лист2!$B$2:$B$505,Лист1!B139)</f>
        <v>125</v>
      </c>
      <c r="F139" s="5">
        <f>SUMIFS(Лист2!$D$2:$D$505,Лист2!$A$2:$A$505, Лист1!A139,Лист2!$B$2:$B$505,Лист1!B139)</f>
        <v>20079</v>
      </c>
      <c r="G139" s="5">
        <f>SUMIFS(Лист2!$E$2:$E$505,Лист2!$A$2:$A$505, Лист1!A139,Лист2!$B$2:$B$505,Лист1!B139)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2">
      <c r="A140" s="9">
        <v>43960</v>
      </c>
      <c r="B140" s="4" t="s">
        <v>15</v>
      </c>
      <c r="C140" s="16">
        <v>359214</v>
      </c>
      <c r="D140" s="16">
        <v>38693427</v>
      </c>
      <c r="E140" s="5">
        <f>SUMIFS(Лист2!$C$2:$C$505,Лист2!$A$2:$A$505, Лист1!A140,Лист2!$B$2:$B$505,Лист1!B140)</f>
        <v>125</v>
      </c>
      <c r="F140" s="5">
        <f>SUMIFS(Лист2!$D$2:$D$505,Лист2!$A$2:$A$505, Лист1!A140,Лист2!$B$2:$B$505,Лист1!B140)</f>
        <v>20132</v>
      </c>
      <c r="G140" s="5">
        <f>SUMIFS(Лист2!$E$2:$E$505,Лист2!$A$2:$A$505, Лист1!A140,Лист2!$B$2:$B$505,Лист1!B140)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2">
      <c r="A141" s="10">
        <v>43955</v>
      </c>
      <c r="B141" s="6" t="s">
        <v>15</v>
      </c>
      <c r="C141" s="17">
        <v>360255</v>
      </c>
      <c r="D141" s="17">
        <v>38406954</v>
      </c>
      <c r="E141" s="5">
        <f>SUMIFS(Лист2!$C$2:$C$505,Лист2!$A$2:$A$505, Лист1!A141,Лист2!$B$2:$B$505,Лист1!B141)</f>
        <v>125</v>
      </c>
      <c r="F141" s="5">
        <f>SUMIFS(Лист2!$D$2:$D$505,Лист2!$A$2:$A$505, Лист1!A141,Лист2!$B$2:$B$505,Лист1!B141)</f>
        <v>20495</v>
      </c>
      <c r="G141" s="5">
        <f>SUMIFS(Лист2!$E$2:$E$505,Лист2!$A$2:$A$505, Лист1!A141,Лист2!$B$2:$B$505,Лист1!B141)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2">
      <c r="A142" s="9">
        <v>43950</v>
      </c>
      <c r="B142" s="4" t="s">
        <v>15</v>
      </c>
      <c r="C142" s="16">
        <v>387220.5</v>
      </c>
      <c r="D142" s="16">
        <v>41559384</v>
      </c>
      <c r="E142" s="5">
        <f>SUMIFS(Лист2!$C$2:$C$505,Лист2!$A$2:$A$505, Лист1!A142,Лист2!$B$2:$B$505,Лист1!B142)</f>
        <v>125</v>
      </c>
      <c r="F142" s="5">
        <f>SUMIFS(Лист2!$D$2:$D$505,Лист2!$A$2:$A$505, Лист1!A142,Лист2!$B$2:$B$505,Лист1!B142)</f>
        <v>21863</v>
      </c>
      <c r="G142" s="5">
        <f>SUMIFS(Лист2!$E$2:$E$505,Лист2!$A$2:$A$505, Лист1!A142,Лист2!$B$2:$B$505,Лист1!B142)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2">
      <c r="A143" s="10">
        <v>43953</v>
      </c>
      <c r="B143" s="6" t="s">
        <v>15</v>
      </c>
      <c r="C143" s="17">
        <v>296580</v>
      </c>
      <c r="D143" s="17">
        <v>31843737</v>
      </c>
      <c r="E143" s="5">
        <f>SUMIFS(Лист2!$C$2:$C$505,Лист2!$A$2:$A$505, Лист1!A143,Лист2!$B$2:$B$505,Лист1!B143)</f>
        <v>125</v>
      </c>
      <c r="F143" s="5">
        <f>SUMIFS(Лист2!$D$2:$D$505,Лист2!$A$2:$A$505, Лист1!A143,Лист2!$B$2:$B$505,Лист1!B143)</f>
        <v>16932</v>
      </c>
      <c r="G143" s="5">
        <f>SUMIFS(Лист2!$E$2:$E$505,Лист2!$A$2:$A$505, Лист1!A143,Лист2!$B$2:$B$505,Лист1!B143)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2">
      <c r="A144" s="9">
        <v>43977</v>
      </c>
      <c r="B144" s="4" t="s">
        <v>15</v>
      </c>
      <c r="C144" s="16">
        <v>369861</v>
      </c>
      <c r="D144" s="16">
        <v>38365960.5</v>
      </c>
      <c r="E144" s="5">
        <f>SUMIFS(Лист2!$C$2:$C$505,Лист2!$A$2:$A$505, Лист1!A144,Лист2!$B$2:$B$505,Лист1!B144)</f>
        <v>124</v>
      </c>
      <c r="F144" s="5">
        <f>SUMIFS(Лист2!$D$2:$D$505,Лист2!$A$2:$A$505, Лист1!A144,Лист2!$B$2:$B$505,Лист1!B144)</f>
        <v>21153</v>
      </c>
      <c r="G144" s="5">
        <f>SUMIFS(Лист2!$E$2:$E$505,Лист2!$A$2:$A$505, Лист1!A144,Лист2!$B$2:$B$505,Лист1!B144)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2">
      <c r="A145" s="10">
        <v>43952</v>
      </c>
      <c r="B145" s="6" t="s">
        <v>15</v>
      </c>
      <c r="C145" s="17">
        <v>372504</v>
      </c>
      <c r="D145" s="17">
        <v>40077193.5</v>
      </c>
      <c r="E145" s="5">
        <f>SUMIFS(Лист2!$C$2:$C$505,Лист2!$A$2:$A$505, Лист1!A145,Лист2!$B$2:$B$505,Лист1!B145)</f>
        <v>125</v>
      </c>
      <c r="F145" s="5">
        <f>SUMIFS(Лист2!$D$2:$D$505,Лист2!$A$2:$A$505, Лист1!A145,Лист2!$B$2:$B$505,Лист1!B145)</f>
        <v>20602</v>
      </c>
      <c r="G145" s="5">
        <f>SUMIFS(Лист2!$E$2:$E$505,Лист2!$A$2:$A$505, Лист1!A145,Лист2!$B$2:$B$505,Лист1!B145)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2">
      <c r="A146" s="9">
        <v>43963</v>
      </c>
      <c r="B146" s="4" t="s">
        <v>15</v>
      </c>
      <c r="C146" s="16">
        <v>373392</v>
      </c>
      <c r="D146" s="16">
        <v>39578577</v>
      </c>
      <c r="E146" s="5">
        <f>SUMIFS(Лист2!$C$2:$C$505,Лист2!$A$2:$A$505, Лист1!A146,Лист2!$B$2:$B$505,Лист1!B146)</f>
        <v>125</v>
      </c>
      <c r="F146" s="5">
        <f>SUMIFS(Лист2!$D$2:$D$505,Лист2!$A$2:$A$505, Лист1!A146,Лист2!$B$2:$B$505,Лист1!B146)</f>
        <v>21106</v>
      </c>
      <c r="G146" s="5">
        <f>SUMIFS(Лист2!$E$2:$E$505,Лист2!$A$2:$A$505, Лист1!A146,Лист2!$B$2:$B$505,Лист1!B146)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2">
      <c r="A147" s="10">
        <v>43972</v>
      </c>
      <c r="B147" s="6" t="s">
        <v>15</v>
      </c>
      <c r="C147" s="17">
        <v>378043.5</v>
      </c>
      <c r="D147" s="17">
        <v>37902156.57</v>
      </c>
      <c r="E147" s="5">
        <f>SUMIFS(Лист2!$C$2:$C$505,Лист2!$A$2:$A$505, Лист1!A147,Лист2!$B$2:$B$505,Лист1!B147)</f>
        <v>125</v>
      </c>
      <c r="F147" s="5">
        <f>SUMIFS(Лист2!$D$2:$D$505,Лист2!$A$2:$A$505, Лист1!A147,Лист2!$B$2:$B$505,Лист1!B147)</f>
        <v>20911</v>
      </c>
      <c r="G147" s="5">
        <f>SUMIFS(Лист2!$E$2:$E$505,Лист2!$A$2:$A$505, Лист1!A147,Лист2!$B$2:$B$505,Лист1!B147)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2">
      <c r="A148" s="9">
        <v>43971</v>
      </c>
      <c r="B148" s="4" t="s">
        <v>15</v>
      </c>
      <c r="C148" s="16">
        <v>388668</v>
      </c>
      <c r="D148" s="16">
        <v>39639309</v>
      </c>
      <c r="E148" s="5">
        <f>SUMIFS(Лист2!$C$2:$C$505,Лист2!$A$2:$A$505, Лист1!A148,Лист2!$B$2:$B$505,Лист1!B148)</f>
        <v>125</v>
      </c>
      <c r="F148" s="5">
        <f>SUMIFS(Лист2!$D$2:$D$505,Лист2!$A$2:$A$505, Лист1!A148,Лист2!$B$2:$B$505,Лист1!B148)</f>
        <v>21674</v>
      </c>
      <c r="G148" s="5">
        <f>SUMIFS(Лист2!$E$2:$E$505,Лист2!$A$2:$A$505, Лист1!A148,Лист2!$B$2:$B$505,Лист1!B148)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2">
      <c r="A149" s="10">
        <v>43956</v>
      </c>
      <c r="B149" s="6" t="s">
        <v>15</v>
      </c>
      <c r="C149" s="17">
        <v>333792</v>
      </c>
      <c r="D149" s="17">
        <v>35671734</v>
      </c>
      <c r="E149" s="5">
        <f>SUMIFS(Лист2!$C$2:$C$505,Лист2!$A$2:$A$505, Лист1!A149,Лист2!$B$2:$B$505,Лист1!B149)</f>
        <v>125</v>
      </c>
      <c r="F149" s="5">
        <f>SUMIFS(Лист2!$D$2:$D$505,Лист2!$A$2:$A$505, Лист1!A149,Лист2!$B$2:$B$505,Лист1!B149)</f>
        <v>18944</v>
      </c>
      <c r="G149" s="5">
        <f>SUMIFS(Лист2!$E$2:$E$505,Лист2!$A$2:$A$505, Лист1!A149,Лист2!$B$2:$B$505,Лист1!B149)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2">
      <c r="A150" s="9">
        <v>43949</v>
      </c>
      <c r="B150" s="4" t="s">
        <v>15</v>
      </c>
      <c r="C150" s="16">
        <v>376060.5</v>
      </c>
      <c r="D150" s="16">
        <v>39918028.5</v>
      </c>
      <c r="E150" s="5">
        <f>SUMIFS(Лист2!$C$2:$C$505,Лист2!$A$2:$A$505, Лист1!A150,Лист2!$B$2:$B$505,Лист1!B150)</f>
        <v>125</v>
      </c>
      <c r="F150" s="5">
        <f>SUMIFS(Лист2!$D$2:$D$505,Лист2!$A$2:$A$505, Лист1!A150,Лист2!$B$2:$B$505,Лист1!B150)</f>
        <v>20914</v>
      </c>
      <c r="G150" s="5">
        <f>SUMIFS(Лист2!$E$2:$E$505,Лист2!$A$2:$A$505, Лист1!A150,Лист2!$B$2:$B$505,Лист1!B150)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2">
      <c r="A151" s="10">
        <v>43964</v>
      </c>
      <c r="B151" s="6" t="s">
        <v>15</v>
      </c>
      <c r="C151" s="17">
        <v>350068.5</v>
      </c>
      <c r="D151" s="17">
        <v>37197115.5</v>
      </c>
      <c r="E151" s="5">
        <f>SUMIFS(Лист2!$C$2:$C$505,Лист2!$A$2:$A$505, Лист1!A151,Лист2!$B$2:$B$505,Лист1!B151)</f>
        <v>125</v>
      </c>
      <c r="F151" s="5">
        <f>SUMIFS(Лист2!$D$2:$D$505,Лист2!$A$2:$A$505, Лист1!A151,Лист2!$B$2:$B$505,Лист1!B151)</f>
        <v>19965</v>
      </c>
      <c r="G151" s="5">
        <f>SUMIFS(Лист2!$E$2:$E$505,Лист2!$A$2:$A$505, Лист1!A151,Лист2!$B$2:$B$505,Лист1!B151)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2">
      <c r="A152" s="9">
        <v>43982</v>
      </c>
      <c r="B152" s="4" t="s">
        <v>14</v>
      </c>
      <c r="C152" s="16">
        <v>294337.5</v>
      </c>
      <c r="D152" s="16">
        <v>29327766</v>
      </c>
      <c r="E152" s="5">
        <f>SUMIFS(Лист2!$C$2:$C$505,Лист2!$A$2:$A$505, Лист1!A152,Лист2!$B$2:$B$505,Лист1!B152)</f>
        <v>129</v>
      </c>
      <c r="F152" s="5">
        <f>SUMIFS(Лист2!$D$2:$D$505,Лист2!$A$2:$A$505, Лист1!A152,Лист2!$B$2:$B$505,Лист1!B152)</f>
        <v>17235</v>
      </c>
      <c r="G152" s="5">
        <f>SUMIFS(Лист2!$E$2:$E$505,Лист2!$A$2:$A$505, Лист1!A152,Лист2!$B$2:$B$505,Лист1!B152)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2">
      <c r="A153" s="10">
        <v>43954</v>
      </c>
      <c r="B153" s="6" t="s">
        <v>15</v>
      </c>
      <c r="C153" s="17">
        <v>342666</v>
      </c>
      <c r="D153" s="17">
        <v>36631999.5</v>
      </c>
      <c r="E153" s="5">
        <f>SUMIFS(Лист2!$C$2:$C$505,Лист2!$A$2:$A$505, Лист1!A153,Лист2!$B$2:$B$505,Лист1!B153)</f>
        <v>125</v>
      </c>
      <c r="F153" s="5">
        <f>SUMIFS(Лист2!$D$2:$D$505,Лист2!$A$2:$A$505, Лист1!A153,Лист2!$B$2:$B$505,Лист1!B153)</f>
        <v>18861</v>
      </c>
      <c r="G153" s="5">
        <f>SUMIFS(Лист2!$E$2:$E$505,Лист2!$A$2:$A$505, Лист1!A153,Лист2!$B$2:$B$505,Лист1!B153)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2">
      <c r="A154" s="9">
        <v>43981</v>
      </c>
      <c r="B154" s="4" t="s">
        <v>14</v>
      </c>
      <c r="C154" s="16">
        <v>364882.5</v>
      </c>
      <c r="D154" s="16">
        <v>35724493.5</v>
      </c>
      <c r="E154" s="5">
        <f>SUMIFS(Лист2!$C$2:$C$505,Лист2!$A$2:$A$505, Лист1!A154,Лист2!$B$2:$B$505,Лист1!B154)</f>
        <v>129</v>
      </c>
      <c r="F154" s="5">
        <f>SUMIFS(Лист2!$D$2:$D$505,Лист2!$A$2:$A$505, Лист1!A154,Лист2!$B$2:$B$505,Лист1!B154)</f>
        <v>20243</v>
      </c>
      <c r="G154" s="5">
        <f>SUMIFS(Лист2!$E$2:$E$505,Лист2!$A$2:$A$505, Лист1!A154,Лист2!$B$2:$B$505,Лист1!B154)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2">
      <c r="A155" s="10">
        <v>43957</v>
      </c>
      <c r="B155" s="6" t="s">
        <v>15</v>
      </c>
      <c r="C155" s="17">
        <v>355278</v>
      </c>
      <c r="D155" s="17">
        <v>38092344</v>
      </c>
      <c r="E155" s="5">
        <f>SUMIFS(Лист2!$C$2:$C$505,Лист2!$A$2:$A$505, Лист1!A155,Лист2!$B$2:$B$505,Лист1!B155)</f>
        <v>125</v>
      </c>
      <c r="F155" s="5">
        <f>SUMIFS(Лист2!$D$2:$D$505,Лист2!$A$2:$A$505, Лист1!A155,Лист2!$B$2:$B$505,Лист1!B155)</f>
        <v>20218</v>
      </c>
      <c r="G155" s="5">
        <f>SUMIFS(Лист2!$E$2:$E$505,Лист2!$A$2:$A$505, Лист1!A155,Лист2!$B$2:$B$505,Лист1!B155)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2">
      <c r="A156" s="9">
        <v>43974</v>
      </c>
      <c r="B156" s="4" t="s">
        <v>15</v>
      </c>
      <c r="C156" s="16">
        <v>456885</v>
      </c>
      <c r="D156" s="16">
        <v>46408080</v>
      </c>
      <c r="E156" s="5">
        <f>SUMIFS(Лист2!$C$2:$C$505,Лист2!$A$2:$A$505, Лист1!A156,Лист2!$B$2:$B$505,Лист1!B156)</f>
        <v>125</v>
      </c>
      <c r="F156" s="5">
        <f>SUMIFS(Лист2!$D$2:$D$505,Лист2!$A$2:$A$505, Лист1!A156,Лист2!$B$2:$B$505,Лист1!B156)</f>
        <v>24574</v>
      </c>
      <c r="G156" s="5">
        <f>SUMIFS(Лист2!$E$2:$E$505,Лист2!$A$2:$A$505, Лист1!A156,Лист2!$B$2:$B$505,Лист1!B156)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2">
      <c r="A157" s="10">
        <v>43979</v>
      </c>
      <c r="B157" s="6" t="s">
        <v>14</v>
      </c>
      <c r="C157" s="17">
        <v>278491.5</v>
      </c>
      <c r="D157" s="17">
        <v>28151004.75</v>
      </c>
      <c r="E157" s="5">
        <f>SUMIFS(Лист2!$C$2:$C$505,Лист2!$A$2:$A$505, Лист1!A157,Лист2!$B$2:$B$505,Лист1!B157)</f>
        <v>129</v>
      </c>
      <c r="F157" s="5">
        <f>SUMIFS(Лист2!$D$2:$D$505,Лист2!$A$2:$A$505, Лист1!A157,Лист2!$B$2:$B$505,Лист1!B157)</f>
        <v>16453</v>
      </c>
      <c r="G157" s="5">
        <f>SUMIFS(Лист2!$E$2:$E$505,Лист2!$A$2:$A$505, Лист1!A157,Лист2!$B$2:$B$505,Лист1!B157)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2">
      <c r="A158" s="9">
        <v>43976</v>
      </c>
      <c r="B158" s="4" t="s">
        <v>15</v>
      </c>
      <c r="C158" s="16">
        <v>349734</v>
      </c>
      <c r="D158" s="16">
        <v>36883428</v>
      </c>
      <c r="E158" s="5">
        <f>SUMIFS(Лист2!$C$2:$C$505,Лист2!$A$2:$A$505, Лист1!A158,Лист2!$B$2:$B$505,Лист1!B158)</f>
        <v>124</v>
      </c>
      <c r="F158" s="5">
        <f>SUMIFS(Лист2!$D$2:$D$505,Лист2!$A$2:$A$505, Лист1!A158,Лист2!$B$2:$B$505,Лист1!B158)</f>
        <v>20358</v>
      </c>
      <c r="G158" s="5">
        <f>SUMIFS(Лист2!$E$2:$E$505,Лист2!$A$2:$A$505, Лист1!A158,Лист2!$B$2:$B$505,Лист1!B158)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2">
      <c r="A159" s="10">
        <v>43951</v>
      </c>
      <c r="B159" s="6" t="s">
        <v>15</v>
      </c>
      <c r="C159" s="17">
        <v>401580</v>
      </c>
      <c r="D159" s="17">
        <v>43028734.5</v>
      </c>
      <c r="E159" s="5">
        <f>SUMIFS(Лист2!$C$2:$C$505,Лист2!$A$2:$A$505, Лист1!A159,Лист2!$B$2:$B$505,Лист1!B159)</f>
        <v>125</v>
      </c>
      <c r="F159" s="5">
        <f>SUMIFS(Лист2!$D$2:$D$505,Лист2!$A$2:$A$505, Лист1!A159,Лист2!$B$2:$B$505,Лист1!B159)</f>
        <v>22368</v>
      </c>
      <c r="G159" s="5">
        <f>SUMIFS(Лист2!$E$2:$E$505,Лист2!$A$2:$A$505, Лист1!A159,Лист2!$B$2:$B$505,Лист1!B159)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2">
      <c r="A160" s="9">
        <v>43961</v>
      </c>
      <c r="B160" s="4" t="s">
        <v>15</v>
      </c>
      <c r="C160" s="16">
        <v>368649</v>
      </c>
      <c r="D160" s="16">
        <v>39010875</v>
      </c>
      <c r="E160" s="5">
        <f>SUMIFS(Лист2!$C$2:$C$505,Лист2!$A$2:$A$505, Лист1!A160,Лист2!$B$2:$B$505,Лист1!B160)</f>
        <v>125</v>
      </c>
      <c r="F160" s="5">
        <f>SUMIFS(Лист2!$D$2:$D$505,Лист2!$A$2:$A$505, Лист1!A160,Лист2!$B$2:$B$505,Лист1!B160)</f>
        <v>20368</v>
      </c>
      <c r="G160" s="5">
        <f>SUMIFS(Лист2!$E$2:$E$505,Лист2!$A$2:$A$505, Лист1!A160,Лист2!$B$2:$B$505,Лист1!B160)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2">
      <c r="A161" s="10">
        <v>43959</v>
      </c>
      <c r="B161" s="6" t="s">
        <v>15</v>
      </c>
      <c r="C161" s="17">
        <v>463530</v>
      </c>
      <c r="D161" s="17">
        <v>49123180.5</v>
      </c>
      <c r="E161" s="5">
        <f>SUMIFS(Лист2!$C$2:$C$505,Лист2!$A$2:$A$505, Лист1!A161,Лист2!$B$2:$B$505,Лист1!B161)</f>
        <v>125</v>
      </c>
      <c r="F161" s="5">
        <f>SUMIFS(Лист2!$D$2:$D$505,Лист2!$A$2:$A$505, Лист1!A161,Лист2!$B$2:$B$505,Лист1!B161)</f>
        <v>24620</v>
      </c>
      <c r="G161" s="5">
        <f>SUMIFS(Лист2!$E$2:$E$505,Лист2!$A$2:$A$505, Лист1!A161,Лист2!$B$2:$B$505,Лист1!B161)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2">
      <c r="A162" s="9">
        <v>43958</v>
      </c>
      <c r="B162" s="4" t="s">
        <v>15</v>
      </c>
      <c r="C162" s="16">
        <v>319110</v>
      </c>
      <c r="D162" s="16">
        <v>33763989</v>
      </c>
      <c r="E162" s="5">
        <f>SUMIFS(Лист2!$C$2:$C$505,Лист2!$A$2:$A$505, Лист1!A162,Лист2!$B$2:$B$505,Лист1!B162)</f>
        <v>125</v>
      </c>
      <c r="F162" s="5">
        <f>SUMIFS(Лист2!$D$2:$D$505,Лист2!$A$2:$A$505, Лист1!A162,Лист2!$B$2:$B$505,Лист1!B162)</f>
        <v>18014</v>
      </c>
      <c r="G162" s="5">
        <f>SUMIFS(Лист2!$E$2:$E$505,Лист2!$A$2:$A$505, Лист1!A162,Лист2!$B$2:$B$505,Лист1!B162)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2">
      <c r="A163" s="10">
        <v>43975</v>
      </c>
      <c r="B163" s="6" t="s">
        <v>15</v>
      </c>
      <c r="C163" s="17">
        <v>375744</v>
      </c>
      <c r="D163" s="17">
        <v>38191381.5</v>
      </c>
      <c r="E163" s="5">
        <f>SUMIFS(Лист2!$C$2:$C$505,Лист2!$A$2:$A$505, Лист1!A163,Лист2!$B$2:$B$505,Лист1!B163)</f>
        <v>125</v>
      </c>
      <c r="F163" s="5">
        <f>SUMIFS(Лист2!$D$2:$D$505,Лист2!$A$2:$A$505, Лист1!A163,Лист2!$B$2:$B$505,Лист1!B163)</f>
        <v>21004</v>
      </c>
      <c r="G163" s="5">
        <f>SUMIFS(Лист2!$E$2:$E$505,Лист2!$A$2:$A$505, Лист1!A163,Лист2!$B$2:$B$505,Лист1!B163)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2">
      <c r="A164" s="9">
        <v>43967</v>
      </c>
      <c r="B164" s="4" t="s">
        <v>16</v>
      </c>
      <c r="C164" s="16">
        <v>81331.5</v>
      </c>
      <c r="D164" s="16">
        <v>6652179</v>
      </c>
      <c r="E164" s="5">
        <f>SUMIFS(Лист2!$C$2:$C$505,Лист2!$A$2:$A$505, Лист1!A164,Лист2!$B$2:$B$505,Лист1!B164)</f>
        <v>36</v>
      </c>
      <c r="F164" s="5">
        <f>SUMIFS(Лист2!$D$2:$D$505,Лист2!$A$2:$A$505, Лист1!A164,Лист2!$B$2:$B$505,Лист1!B164)</f>
        <v>5286</v>
      </c>
      <c r="G164" s="5">
        <f>SUMIFS(Лист2!$E$2:$E$505,Лист2!$A$2:$A$505, Лист1!A164,Лист2!$B$2:$B$505,Лист1!B164)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2">
      <c r="A165" s="10">
        <v>43970</v>
      </c>
      <c r="B165" s="6" t="s">
        <v>16</v>
      </c>
      <c r="C165" s="17">
        <v>75796.5</v>
      </c>
      <c r="D165" s="17">
        <v>6173463</v>
      </c>
      <c r="E165" s="5">
        <f>SUMIFS(Лист2!$C$2:$C$505,Лист2!$A$2:$A$505, Лист1!A165,Лист2!$B$2:$B$505,Лист1!B165)</f>
        <v>36</v>
      </c>
      <c r="F165" s="5">
        <f>SUMIFS(Лист2!$D$2:$D$505,Лист2!$A$2:$A$505, Лист1!A165,Лист2!$B$2:$B$505,Лист1!B165)</f>
        <v>5094</v>
      </c>
      <c r="G165" s="5">
        <f>SUMIFS(Лист2!$E$2:$E$505,Лист2!$A$2:$A$505, Лист1!A165,Лист2!$B$2:$B$505,Лист1!B165)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2">
      <c r="A166" s="9">
        <v>43968</v>
      </c>
      <c r="B166" s="4" t="s">
        <v>16</v>
      </c>
      <c r="C166" s="16">
        <v>72861</v>
      </c>
      <c r="D166" s="16">
        <v>5952802.5</v>
      </c>
      <c r="E166" s="5">
        <f>SUMIFS(Лист2!$C$2:$C$505,Лист2!$A$2:$A$505, Лист1!A166,Лист2!$B$2:$B$505,Лист1!B166)</f>
        <v>36</v>
      </c>
      <c r="F166" s="5">
        <f>SUMIFS(Лист2!$D$2:$D$505,Лист2!$A$2:$A$505, Лист1!A166,Лист2!$B$2:$B$505,Лист1!B166)</f>
        <v>4918</v>
      </c>
      <c r="G166" s="5">
        <f>SUMIFS(Лист2!$E$2:$E$505,Лист2!$A$2:$A$505, Лист1!A166,Лист2!$B$2:$B$505,Лист1!B166)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2">
      <c r="A167" s="10">
        <v>43960</v>
      </c>
      <c r="B167" s="6" t="s">
        <v>16</v>
      </c>
      <c r="C167" s="17">
        <v>83373</v>
      </c>
      <c r="D167" s="17">
        <v>7253427</v>
      </c>
      <c r="E167" s="5">
        <f>SUMIFS(Лист2!$C$2:$C$505,Лист2!$A$2:$A$505, Лист1!A167,Лист2!$B$2:$B$505,Лист1!B167)</f>
        <v>36</v>
      </c>
      <c r="F167" s="5">
        <f>SUMIFS(Лист2!$D$2:$D$505,Лист2!$A$2:$A$505, Лист1!A167,Лист2!$B$2:$B$505,Лист1!B167)</f>
        <v>5413</v>
      </c>
      <c r="G167" s="5">
        <f>SUMIFS(Лист2!$E$2:$E$505,Лист2!$A$2:$A$505, Лист1!A167,Лист2!$B$2:$B$505,Лист1!B167)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2">
      <c r="A168" s="9">
        <v>43955</v>
      </c>
      <c r="B168" s="4" t="s">
        <v>16</v>
      </c>
      <c r="C168" s="16">
        <v>64108.5</v>
      </c>
      <c r="D168" s="16">
        <v>5561452.5</v>
      </c>
      <c r="E168" s="5">
        <f>SUMIFS(Лист2!$C$2:$C$505,Лист2!$A$2:$A$505, Лист1!A168,Лист2!$B$2:$B$505,Лист1!B168)</f>
        <v>36</v>
      </c>
      <c r="F168" s="5">
        <f>SUMIFS(Лист2!$D$2:$D$505,Лист2!$A$2:$A$505, Лист1!A168,Лист2!$B$2:$B$505,Лист1!B168)</f>
        <v>4508</v>
      </c>
      <c r="G168" s="5">
        <f>SUMIFS(Лист2!$E$2:$E$505,Лист2!$A$2:$A$505, Лист1!A168,Лист2!$B$2:$B$505,Лист1!B168)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2">
      <c r="A169" s="10">
        <v>43950</v>
      </c>
      <c r="B169" s="6" t="s">
        <v>16</v>
      </c>
      <c r="C169" s="17">
        <v>74707.5</v>
      </c>
      <c r="D169" s="17">
        <v>6454458</v>
      </c>
      <c r="E169" s="5">
        <f>SUMIFS(Лист2!$C$2:$C$505,Лист2!$A$2:$A$505, Лист1!A169,Лист2!$B$2:$B$505,Лист1!B169)</f>
        <v>36</v>
      </c>
      <c r="F169" s="5">
        <f>SUMIFS(Лист2!$D$2:$D$505,Лист2!$A$2:$A$505, Лист1!A169,Лист2!$B$2:$B$505,Лист1!B169)</f>
        <v>4937</v>
      </c>
      <c r="G169" s="5">
        <f>SUMIFS(Лист2!$E$2:$E$505,Лист2!$A$2:$A$505, Лист1!A169,Лист2!$B$2:$B$505,Лист1!B169)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2">
      <c r="A170" s="9">
        <v>43953</v>
      </c>
      <c r="B170" s="4" t="s">
        <v>16</v>
      </c>
      <c r="C170" s="16">
        <v>46216.5</v>
      </c>
      <c r="D170" s="16">
        <v>4118251.5</v>
      </c>
      <c r="E170" s="5">
        <f>SUMIFS(Лист2!$C$2:$C$505,Лист2!$A$2:$A$505, Лист1!A170,Лист2!$B$2:$B$505,Лист1!B170)</f>
        <v>36</v>
      </c>
      <c r="F170" s="5">
        <f>SUMIFS(Лист2!$D$2:$D$505,Лист2!$A$2:$A$505, Лист1!A170,Лист2!$B$2:$B$505,Лист1!B170)</f>
        <v>3442</v>
      </c>
      <c r="G170" s="5">
        <f>SUMIFS(Лист2!$E$2:$E$505,Лист2!$A$2:$A$505, Лист1!A170,Лист2!$B$2:$B$505,Лист1!B170)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2">
      <c r="A171" s="10">
        <v>43977</v>
      </c>
      <c r="B171" s="6" t="s">
        <v>16</v>
      </c>
      <c r="C171" s="17">
        <v>67726.5</v>
      </c>
      <c r="D171" s="17">
        <v>5864989.5</v>
      </c>
      <c r="E171" s="5">
        <f>SUMIFS(Лист2!$C$2:$C$505,Лист2!$A$2:$A$505, Лист1!A171,Лист2!$B$2:$B$505,Лист1!B171)</f>
        <v>36</v>
      </c>
      <c r="F171" s="5">
        <f>SUMIFS(Лист2!$D$2:$D$505,Лист2!$A$2:$A$505, Лист1!A171,Лист2!$B$2:$B$505,Лист1!B171)</f>
        <v>4770</v>
      </c>
      <c r="G171" s="5">
        <f>SUMIFS(Лист2!$E$2:$E$505,Лист2!$A$2:$A$505, Лист1!A171,Лист2!$B$2:$B$505,Лист1!B171)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2">
      <c r="A172" s="9">
        <v>43952</v>
      </c>
      <c r="B172" s="4" t="s">
        <v>16</v>
      </c>
      <c r="C172" s="16">
        <v>82228.5</v>
      </c>
      <c r="D172" s="16">
        <v>7032225</v>
      </c>
      <c r="E172" s="5">
        <f>SUMIFS(Лист2!$C$2:$C$505,Лист2!$A$2:$A$505, Лист1!A172,Лист2!$B$2:$B$505,Лист1!B172)</f>
        <v>36</v>
      </c>
      <c r="F172" s="5">
        <f>SUMIFS(Лист2!$D$2:$D$505,Лист2!$A$2:$A$505, Лист1!A172,Лист2!$B$2:$B$505,Лист1!B172)</f>
        <v>5457</v>
      </c>
      <c r="G172" s="5">
        <f>SUMIFS(Лист2!$E$2:$E$505,Лист2!$A$2:$A$505, Лист1!A172,Лист2!$B$2:$B$505,Лист1!B172)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2">
      <c r="A173" s="10">
        <v>43963</v>
      </c>
      <c r="B173" s="6" t="s">
        <v>16</v>
      </c>
      <c r="C173" s="17">
        <v>64390.5</v>
      </c>
      <c r="D173" s="17">
        <v>5523145.5</v>
      </c>
      <c r="E173" s="5">
        <f>SUMIFS(Лист2!$C$2:$C$505,Лист2!$A$2:$A$505, Лист1!A173,Лист2!$B$2:$B$505,Лист1!B173)</f>
        <v>36</v>
      </c>
      <c r="F173" s="5">
        <f>SUMIFS(Лист2!$D$2:$D$505,Лист2!$A$2:$A$505, Лист1!A173,Лист2!$B$2:$B$505,Лист1!B173)</f>
        <v>4418</v>
      </c>
      <c r="G173" s="5">
        <f>SUMIFS(Лист2!$E$2:$E$505,Лист2!$A$2:$A$505, Лист1!A173,Лист2!$B$2:$B$505,Лист1!B173)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2">
      <c r="A174" s="9">
        <v>43972</v>
      </c>
      <c r="B174" s="4" t="s">
        <v>16</v>
      </c>
      <c r="C174" s="16">
        <v>73126.5</v>
      </c>
      <c r="D174" s="16">
        <v>5864085</v>
      </c>
      <c r="E174" s="5">
        <f>SUMIFS(Лист2!$C$2:$C$505,Лист2!$A$2:$A$505, Лист1!A174,Лист2!$B$2:$B$505,Лист1!B174)</f>
        <v>36</v>
      </c>
      <c r="F174" s="5">
        <f>SUMIFS(Лист2!$D$2:$D$505,Лист2!$A$2:$A$505, Лист1!A174,Лист2!$B$2:$B$505,Лист1!B174)</f>
        <v>4816</v>
      </c>
      <c r="G174" s="5">
        <f>SUMIFS(Лист2!$E$2:$E$505,Лист2!$A$2:$A$505, Лист1!A174,Лист2!$B$2:$B$505,Лист1!B174)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2">
      <c r="A175" s="10">
        <v>43971</v>
      </c>
      <c r="B175" s="6" t="s">
        <v>16</v>
      </c>
      <c r="C175" s="17">
        <v>99631.5</v>
      </c>
      <c r="D175" s="17">
        <v>7121946</v>
      </c>
      <c r="E175" s="5">
        <f>SUMIFS(Лист2!$C$2:$C$505,Лист2!$A$2:$A$505, Лист1!A175,Лист2!$B$2:$B$505,Лист1!B175)</f>
        <v>36</v>
      </c>
      <c r="F175" s="5">
        <f>SUMIFS(Лист2!$D$2:$D$505,Лист2!$A$2:$A$505, Лист1!A175,Лист2!$B$2:$B$505,Лист1!B175)</f>
        <v>5914</v>
      </c>
      <c r="G175" s="5">
        <f>SUMIFS(Лист2!$E$2:$E$505,Лист2!$A$2:$A$505, Лист1!A175,Лист2!$B$2:$B$505,Лист1!B175)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2">
      <c r="A176" s="9">
        <v>43956</v>
      </c>
      <c r="B176" s="4" t="s">
        <v>16</v>
      </c>
      <c r="C176" s="16">
        <v>66396</v>
      </c>
      <c r="D176" s="16">
        <v>5770539</v>
      </c>
      <c r="E176" s="5">
        <f>SUMIFS(Лист2!$C$2:$C$505,Лист2!$A$2:$A$505, Лист1!A176,Лист2!$B$2:$B$505,Лист1!B176)</f>
        <v>36</v>
      </c>
      <c r="F176" s="5">
        <f>SUMIFS(Лист2!$D$2:$D$505,Лист2!$A$2:$A$505, Лист1!A176,Лист2!$B$2:$B$505,Лист1!B176)</f>
        <v>4575</v>
      </c>
      <c r="G176" s="5">
        <f>SUMIFS(Лист2!$E$2:$E$505,Лист2!$A$2:$A$505, Лист1!A176,Лист2!$B$2:$B$505,Лист1!B176)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2">
      <c r="A177" s="10">
        <v>43949</v>
      </c>
      <c r="B177" s="6" t="s">
        <v>16</v>
      </c>
      <c r="C177" s="17">
        <v>73147.5</v>
      </c>
      <c r="D177" s="17">
        <v>6288246</v>
      </c>
      <c r="E177" s="5">
        <f>SUMIFS(Лист2!$C$2:$C$505,Лист2!$A$2:$A$505, Лист1!A177,Лист2!$B$2:$B$505,Лист1!B177)</f>
        <v>36</v>
      </c>
      <c r="F177" s="5">
        <f>SUMIFS(Лист2!$D$2:$D$505,Лист2!$A$2:$A$505, Лист1!A177,Лист2!$B$2:$B$505,Лист1!B177)</f>
        <v>4923</v>
      </c>
      <c r="G177" s="5">
        <f>SUMIFS(Лист2!$E$2:$E$505,Лист2!$A$2:$A$505, Лист1!A177,Лист2!$B$2:$B$505,Лист1!B177)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2">
      <c r="A178" s="9">
        <v>43964</v>
      </c>
      <c r="B178" s="4" t="s">
        <v>16</v>
      </c>
      <c r="C178" s="16">
        <v>73062</v>
      </c>
      <c r="D178" s="16">
        <v>6333828</v>
      </c>
      <c r="E178" s="5">
        <f>SUMIFS(Лист2!$C$2:$C$505,Лист2!$A$2:$A$505, Лист1!A178,Лист2!$B$2:$B$505,Лист1!B178)</f>
        <v>36</v>
      </c>
      <c r="F178" s="5">
        <f>SUMIFS(Лист2!$D$2:$D$505,Лист2!$A$2:$A$505, Лист1!A178,Лист2!$B$2:$B$505,Лист1!B178)</f>
        <v>4967</v>
      </c>
      <c r="G178" s="5">
        <f>SUMIFS(Лист2!$E$2:$E$505,Лист2!$A$2:$A$505, Лист1!A178,Лист2!$B$2:$B$505,Лист1!B178)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2">
      <c r="A179" s="10">
        <v>43982</v>
      </c>
      <c r="B179" s="6" t="s">
        <v>15</v>
      </c>
      <c r="C179" s="17">
        <v>379663.5</v>
      </c>
      <c r="D179" s="17">
        <v>39380178</v>
      </c>
      <c r="E179" s="5">
        <f>SUMIFS(Лист2!$C$2:$C$505,Лист2!$A$2:$A$505, Лист1!A179,Лист2!$B$2:$B$505,Лист1!B179)</f>
        <v>124</v>
      </c>
      <c r="F179" s="5">
        <f>SUMIFS(Лист2!$D$2:$D$505,Лист2!$A$2:$A$505, Лист1!A179,Лист2!$B$2:$B$505,Лист1!B179)</f>
        <v>21392</v>
      </c>
      <c r="G179" s="5">
        <f>SUMIFS(Лист2!$E$2:$E$505,Лист2!$A$2:$A$505, Лист1!A179,Лист2!$B$2:$B$505,Лист1!B179)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2">
      <c r="A180" s="9">
        <v>43954</v>
      </c>
      <c r="B180" s="4" t="s">
        <v>16</v>
      </c>
      <c r="C180" s="16">
        <v>70581</v>
      </c>
      <c r="D180" s="16">
        <v>6221320.5</v>
      </c>
      <c r="E180" s="5">
        <f>SUMIFS(Лист2!$C$2:$C$505,Лист2!$A$2:$A$505, Лист1!A180,Лист2!$B$2:$B$505,Лист1!B180)</f>
        <v>36</v>
      </c>
      <c r="F180" s="5">
        <f>SUMIFS(Лист2!$D$2:$D$505,Лист2!$A$2:$A$505, Лист1!A180,Лист2!$B$2:$B$505,Лист1!B180)</f>
        <v>4751</v>
      </c>
      <c r="G180" s="5">
        <f>SUMIFS(Лист2!$E$2:$E$505,Лист2!$A$2:$A$505, Лист1!A180,Лист2!$B$2:$B$505,Лист1!B180)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2">
      <c r="A181" s="10">
        <v>43981</v>
      </c>
      <c r="B181" s="6" t="s">
        <v>15</v>
      </c>
      <c r="C181" s="17">
        <v>453123</v>
      </c>
      <c r="D181" s="17">
        <v>46370904</v>
      </c>
      <c r="E181" s="5">
        <f>SUMIFS(Лист2!$C$2:$C$505,Лист2!$A$2:$A$505, Лист1!A181,Лист2!$B$2:$B$505,Лист1!B181)</f>
        <v>124</v>
      </c>
      <c r="F181" s="5">
        <f>SUMIFS(Лист2!$D$2:$D$505,Лист2!$A$2:$A$505, Лист1!A181,Лист2!$B$2:$B$505,Лист1!B181)</f>
        <v>24325</v>
      </c>
      <c r="G181" s="5">
        <f>SUMIFS(Лист2!$E$2:$E$505,Лист2!$A$2:$A$505, Лист1!A181,Лист2!$B$2:$B$505,Лист1!B181)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2">
      <c r="A182" s="9">
        <v>43957</v>
      </c>
      <c r="B182" s="4" t="s">
        <v>16</v>
      </c>
      <c r="C182" s="16">
        <v>63012</v>
      </c>
      <c r="D182" s="16">
        <v>5454121.5</v>
      </c>
      <c r="E182" s="5">
        <f>SUMIFS(Лист2!$C$2:$C$505,Лист2!$A$2:$A$505, Лист1!A182,Лист2!$B$2:$B$505,Лист1!B182)</f>
        <v>36</v>
      </c>
      <c r="F182" s="5">
        <f>SUMIFS(Лист2!$D$2:$D$505,Лист2!$A$2:$A$505, Лист1!A182,Лист2!$B$2:$B$505,Лист1!B182)</f>
        <v>4384</v>
      </c>
      <c r="G182" s="5">
        <f>SUMIFS(Лист2!$E$2:$E$505,Лист2!$A$2:$A$505, Лист1!A182,Лист2!$B$2:$B$505,Лист1!B182)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2">
      <c r="A183" s="10">
        <v>43974</v>
      </c>
      <c r="B183" s="6" t="s">
        <v>16</v>
      </c>
      <c r="C183" s="17">
        <v>89556</v>
      </c>
      <c r="D183" s="17">
        <v>7173117</v>
      </c>
      <c r="E183" s="5">
        <f>SUMIFS(Лист2!$C$2:$C$505,Лист2!$A$2:$A$505, Лист1!A183,Лист2!$B$2:$B$505,Лист1!B183)</f>
        <v>36</v>
      </c>
      <c r="F183" s="5">
        <f>SUMIFS(Лист2!$D$2:$D$505,Лист2!$A$2:$A$505, Лист1!A183,Лист2!$B$2:$B$505,Лист1!B183)</f>
        <v>5651</v>
      </c>
      <c r="G183" s="5">
        <f>SUMIFS(Лист2!$E$2:$E$505,Лист2!$A$2:$A$505, Лист1!A183,Лист2!$B$2:$B$505,Лист1!B183)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2">
      <c r="A184" s="9">
        <v>43979</v>
      </c>
      <c r="B184" s="4" t="s">
        <v>15</v>
      </c>
      <c r="C184" s="16">
        <v>364638</v>
      </c>
      <c r="D184" s="16">
        <v>37947688.5</v>
      </c>
      <c r="E184" s="5">
        <f>SUMIFS(Лист2!$C$2:$C$505,Лист2!$A$2:$A$505, Лист1!A184,Лист2!$B$2:$B$505,Лист1!B184)</f>
        <v>124</v>
      </c>
      <c r="F184" s="5">
        <f>SUMIFS(Лист2!$D$2:$D$505,Лист2!$A$2:$A$505, Лист1!A184,Лист2!$B$2:$B$505,Лист1!B184)</f>
        <v>20868</v>
      </c>
      <c r="G184" s="5">
        <f>SUMIFS(Лист2!$E$2:$E$505,Лист2!$A$2:$A$505, Лист1!A184,Лист2!$B$2:$B$505,Лист1!B184)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2">
      <c r="A185" s="10">
        <v>43976</v>
      </c>
      <c r="B185" s="6" t="s">
        <v>16</v>
      </c>
      <c r="C185" s="17">
        <v>66316.5</v>
      </c>
      <c r="D185" s="17">
        <v>5704650</v>
      </c>
      <c r="E185" s="5">
        <f>SUMIFS(Лист2!$C$2:$C$505,Лист2!$A$2:$A$505, Лист1!A185,Лист2!$B$2:$B$505,Лист1!B185)</f>
        <v>36</v>
      </c>
      <c r="F185" s="5">
        <f>SUMIFS(Лист2!$D$2:$D$505,Лист2!$A$2:$A$505, Лист1!A185,Лист2!$B$2:$B$505,Лист1!B185)</f>
        <v>4641</v>
      </c>
      <c r="G185" s="5">
        <f>SUMIFS(Лист2!$E$2:$E$505,Лист2!$A$2:$A$505, Лист1!A185,Лист2!$B$2:$B$505,Лист1!B185)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2">
      <c r="A186" s="9">
        <v>43951</v>
      </c>
      <c r="B186" s="4" t="s">
        <v>16</v>
      </c>
      <c r="C186" s="16">
        <v>78235.5</v>
      </c>
      <c r="D186" s="16">
        <v>6819594</v>
      </c>
      <c r="E186" s="5">
        <f>SUMIFS(Лист2!$C$2:$C$505,Лист2!$A$2:$A$505, Лист1!A186,Лист2!$B$2:$B$505,Лист1!B186)</f>
        <v>36</v>
      </c>
      <c r="F186" s="5">
        <f>SUMIFS(Лист2!$D$2:$D$505,Лист2!$A$2:$A$505, Лист1!A186,Лист2!$B$2:$B$505,Лист1!B186)</f>
        <v>5143</v>
      </c>
      <c r="G186" s="5">
        <f>SUMIFS(Лист2!$E$2:$E$505,Лист2!$A$2:$A$505, Лист1!A186,Лист2!$B$2:$B$505,Лист1!B186)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2">
      <c r="A187" s="10">
        <v>43961</v>
      </c>
      <c r="B187" s="6" t="s">
        <v>16</v>
      </c>
      <c r="C187" s="17">
        <v>88311</v>
      </c>
      <c r="D187" s="17">
        <v>7726069.5</v>
      </c>
      <c r="E187" s="5">
        <f>SUMIFS(Лист2!$C$2:$C$505,Лист2!$A$2:$A$505, Лист1!A187,Лист2!$B$2:$B$505,Лист1!B187)</f>
        <v>36</v>
      </c>
      <c r="F187" s="5">
        <f>SUMIFS(Лист2!$D$2:$D$505,Лист2!$A$2:$A$505, Лист1!A187,Лист2!$B$2:$B$505,Лист1!B187)</f>
        <v>5746</v>
      </c>
      <c r="G187" s="5">
        <f>SUMIFS(Лист2!$E$2:$E$505,Лист2!$A$2:$A$505, Лист1!A187,Лист2!$B$2:$B$505,Лист1!B187)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2">
      <c r="A188" s="9">
        <v>43959</v>
      </c>
      <c r="B188" s="4" t="s">
        <v>16</v>
      </c>
      <c r="C188" s="16">
        <v>61804.5</v>
      </c>
      <c r="D188" s="16">
        <v>5365708.5</v>
      </c>
      <c r="E188" s="5">
        <f>SUMIFS(Лист2!$C$2:$C$505,Лист2!$A$2:$A$505, Лист1!A188,Лист2!$B$2:$B$505,Лист1!B188)</f>
        <v>36</v>
      </c>
      <c r="F188" s="5">
        <f>SUMIFS(Лист2!$D$2:$D$505,Лист2!$A$2:$A$505, Лист1!A188,Лист2!$B$2:$B$505,Лист1!B188)</f>
        <v>4199</v>
      </c>
      <c r="G188" s="5">
        <f>SUMIFS(Лист2!$E$2:$E$505,Лист2!$A$2:$A$505, Лист1!A188,Лист2!$B$2:$B$505,Лист1!B188)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2">
      <c r="A189" s="10">
        <v>43958</v>
      </c>
      <c r="B189" s="6" t="s">
        <v>16</v>
      </c>
      <c r="C189" s="17">
        <v>71067</v>
      </c>
      <c r="D189" s="17">
        <v>6175837.5</v>
      </c>
      <c r="E189" s="5">
        <f>SUMIFS(Лист2!$C$2:$C$505,Лист2!$A$2:$A$505, Лист1!A189,Лист2!$B$2:$B$505,Лист1!B189)</f>
        <v>36</v>
      </c>
      <c r="F189" s="5">
        <f>SUMIFS(Лист2!$D$2:$D$505,Лист2!$A$2:$A$505, Лист1!A189,Лист2!$B$2:$B$505,Лист1!B189)</f>
        <v>4826</v>
      </c>
      <c r="G189" s="5">
        <f>SUMIFS(Лист2!$E$2:$E$505,Лист2!$A$2:$A$505, Лист1!A189,Лист2!$B$2:$B$505,Лист1!B189)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2">
      <c r="A190" s="9">
        <v>43975</v>
      </c>
      <c r="B190" s="4" t="s">
        <v>16</v>
      </c>
      <c r="C190" s="16">
        <v>74649</v>
      </c>
      <c r="D190" s="16">
        <v>6098236.5</v>
      </c>
      <c r="E190" s="5">
        <f>SUMIFS(Лист2!$C$2:$C$505,Лист2!$A$2:$A$505, Лист1!A190,Лист2!$B$2:$B$505,Лист1!B190)</f>
        <v>36</v>
      </c>
      <c r="F190" s="5">
        <f>SUMIFS(Лист2!$D$2:$D$505,Лист2!$A$2:$A$505, Лист1!A190,Лист2!$B$2:$B$505,Лист1!B190)</f>
        <v>4915</v>
      </c>
      <c r="G190" s="5">
        <f>SUMIFS(Лист2!$E$2:$E$505,Лист2!$A$2:$A$505, Лист1!A190,Лист2!$B$2:$B$505,Лист1!B190)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2">
      <c r="A191" s="10">
        <v>43967</v>
      </c>
      <c r="B191" s="6" t="s">
        <v>17</v>
      </c>
      <c r="C191" s="17">
        <v>44560.5</v>
      </c>
      <c r="D191" s="17">
        <v>4025148</v>
      </c>
      <c r="E191" s="5">
        <f>SUMIFS(Лист2!$C$2:$C$505,Лист2!$A$2:$A$505, Лист1!A191,Лист2!$B$2:$B$505,Лист1!B191)</f>
        <v>21</v>
      </c>
      <c r="F191" s="5">
        <f>SUMIFS(Лист2!$D$2:$D$505,Лист2!$A$2:$A$505, Лист1!A191,Лист2!$B$2:$B$505,Лист1!B191)</f>
        <v>2427</v>
      </c>
      <c r="G191" s="5">
        <f>SUMIFS(Лист2!$E$2:$E$505,Лист2!$A$2:$A$505, Лист1!A191,Лист2!$B$2:$B$505,Лист1!B191)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2">
      <c r="A192" s="9">
        <v>43970</v>
      </c>
      <c r="B192" s="4" t="s">
        <v>17</v>
      </c>
      <c r="C192" s="16">
        <v>38250</v>
      </c>
      <c r="D192" s="16">
        <v>3552937.5</v>
      </c>
      <c r="E192" s="5">
        <f>SUMIFS(Лист2!$C$2:$C$505,Лист2!$A$2:$A$505, Лист1!A192,Лист2!$B$2:$B$505,Лист1!B192)</f>
        <v>21</v>
      </c>
      <c r="F192" s="5">
        <f>SUMIFS(Лист2!$D$2:$D$505,Лист2!$A$2:$A$505, Лист1!A192,Лист2!$B$2:$B$505,Лист1!B192)</f>
        <v>2245</v>
      </c>
      <c r="G192" s="5">
        <f>SUMIFS(Лист2!$E$2:$E$505,Лист2!$A$2:$A$505, Лист1!A192,Лист2!$B$2:$B$505,Лист1!B192)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2">
      <c r="A193" s="10">
        <v>43968</v>
      </c>
      <c r="B193" s="6" t="s">
        <v>17</v>
      </c>
      <c r="C193" s="17">
        <v>34830</v>
      </c>
      <c r="D193" s="17">
        <v>3191155.5</v>
      </c>
      <c r="E193" s="5">
        <f>SUMIFS(Лист2!$C$2:$C$505,Лист2!$A$2:$A$505, Лист1!A193,Лист2!$B$2:$B$505,Лист1!B193)</f>
        <v>21</v>
      </c>
      <c r="F193" s="5">
        <f>SUMIFS(Лист2!$D$2:$D$505,Лист2!$A$2:$A$505, Лист1!A193,Лист2!$B$2:$B$505,Лист1!B193)</f>
        <v>2054</v>
      </c>
      <c r="G193" s="5">
        <f>SUMIFS(Лист2!$E$2:$E$505,Лист2!$A$2:$A$505, Лист1!A193,Лист2!$B$2:$B$505,Лист1!B193)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2">
      <c r="A194" s="9">
        <v>43960</v>
      </c>
      <c r="B194" s="4" t="s">
        <v>17</v>
      </c>
      <c r="C194" s="16">
        <v>32239.5</v>
      </c>
      <c r="D194" s="16">
        <v>3084892.5</v>
      </c>
      <c r="E194" s="5">
        <f>SUMIFS(Лист2!$C$2:$C$505,Лист2!$A$2:$A$505, Лист1!A194,Лист2!$B$2:$B$505,Лист1!B194)</f>
        <v>21</v>
      </c>
      <c r="F194" s="5">
        <f>SUMIFS(Лист2!$D$2:$D$505,Лист2!$A$2:$A$505, Лист1!A194,Лист2!$B$2:$B$505,Лист1!B194)</f>
        <v>1891</v>
      </c>
      <c r="G194" s="5">
        <f>SUMIFS(Лист2!$E$2:$E$505,Лист2!$A$2:$A$505, Лист1!A194,Лист2!$B$2:$B$505,Лист1!B194)</f>
        <v>1709</v>
      </c>
      <c r="H194">
        <f t="shared" ref="H194:H257" si="6">D194 / E194</f>
        <v>146899.64285714287</v>
      </c>
      <c r="I194">
        <f t="shared" si="5"/>
        <v>19</v>
      </c>
    </row>
    <row r="195" spans="1:9" ht="14.25" customHeight="1" x14ac:dyDescent="0.2">
      <c r="A195" s="10">
        <v>43955</v>
      </c>
      <c r="B195" s="6" t="s">
        <v>17</v>
      </c>
      <c r="C195" s="17">
        <v>30780</v>
      </c>
      <c r="D195" s="17">
        <v>2817853.5</v>
      </c>
      <c r="E195" s="5">
        <f>SUMIFS(Лист2!$C$2:$C$505,Лист2!$A$2:$A$505, Лист1!A195,Лист2!$B$2:$B$505,Лист1!B195)</f>
        <v>20</v>
      </c>
      <c r="F195" s="5">
        <f>SUMIFS(Лист2!$D$2:$D$505,Лист2!$A$2:$A$505, Лист1!A195,Лист2!$B$2:$B$505,Лист1!B195)</f>
        <v>1804</v>
      </c>
      <c r="G195" s="5">
        <f>SUMIFS(Лист2!$E$2:$E$505,Лист2!$A$2:$A$505, Лист1!A195,Лист2!$B$2:$B$505,Лист1!B195)</f>
        <v>1638</v>
      </c>
      <c r="H195">
        <f t="shared" si="6"/>
        <v>140892.67499999999</v>
      </c>
      <c r="I195">
        <f t="shared" ref="I195:I258" si="7">WEEKNUM(A195,2)</f>
        <v>19</v>
      </c>
    </row>
    <row r="196" spans="1:9" ht="14.25" customHeight="1" x14ac:dyDescent="0.2">
      <c r="A196" s="9">
        <v>43950</v>
      </c>
      <c r="B196" s="4" t="s">
        <v>17</v>
      </c>
      <c r="C196" s="16">
        <v>29142</v>
      </c>
      <c r="D196" s="16">
        <v>2627595</v>
      </c>
      <c r="E196" s="5">
        <f>SUMIFS(Лист2!$C$2:$C$505,Лист2!$A$2:$A$505, Лист1!A196,Лист2!$B$2:$B$505,Лист1!B196)</f>
        <v>19</v>
      </c>
      <c r="F196" s="5">
        <f>SUMIFS(Лист2!$D$2:$D$505,Лист2!$A$2:$A$505, Лист1!A196,Лист2!$B$2:$B$505,Лист1!B196)</f>
        <v>1676</v>
      </c>
      <c r="G196" s="5">
        <f>SUMIFS(Лист2!$E$2:$E$505,Лист2!$A$2:$A$505, Лист1!A196,Лист2!$B$2:$B$505,Лист1!B196)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2">
      <c r="A197" s="10">
        <v>43953</v>
      </c>
      <c r="B197" s="6" t="s">
        <v>17</v>
      </c>
      <c r="C197" s="17">
        <v>26428.5</v>
      </c>
      <c r="D197" s="17">
        <v>2470465.5</v>
      </c>
      <c r="E197" s="5">
        <f>SUMIFS(Лист2!$C$2:$C$505,Лист2!$A$2:$A$505, Лист1!A197,Лист2!$B$2:$B$505,Лист1!B197)</f>
        <v>20</v>
      </c>
      <c r="F197" s="5">
        <f>SUMIFS(Лист2!$D$2:$D$505,Лист2!$A$2:$A$505, Лист1!A197,Лист2!$B$2:$B$505,Лист1!B197)</f>
        <v>1613</v>
      </c>
      <c r="G197" s="5">
        <f>SUMIFS(Лист2!$E$2:$E$505,Лист2!$A$2:$A$505, Лист1!A197,Лист2!$B$2:$B$505,Лист1!B197)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2">
      <c r="A198" s="9">
        <v>43977</v>
      </c>
      <c r="B198" s="4" t="s">
        <v>17</v>
      </c>
      <c r="C198" s="16">
        <v>40744.5</v>
      </c>
      <c r="D198" s="16">
        <v>3700311</v>
      </c>
      <c r="E198" s="5">
        <f>SUMIFS(Лист2!$C$2:$C$505,Лист2!$A$2:$A$505, Лист1!A198,Лист2!$B$2:$B$505,Лист1!B198)</f>
        <v>21</v>
      </c>
      <c r="F198" s="5">
        <f>SUMIFS(Лист2!$D$2:$D$505,Лист2!$A$2:$A$505, Лист1!A198,Лист2!$B$2:$B$505,Лист1!B198)</f>
        <v>2418</v>
      </c>
      <c r="G198" s="5">
        <f>SUMIFS(Лист2!$E$2:$E$505,Лист2!$A$2:$A$505, Лист1!A198,Лист2!$B$2:$B$505,Лист1!B198)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2">
      <c r="A199" s="10">
        <v>43952</v>
      </c>
      <c r="B199" s="6" t="s">
        <v>17</v>
      </c>
      <c r="C199" s="17">
        <v>46620</v>
      </c>
      <c r="D199" s="17">
        <v>4293241.5</v>
      </c>
      <c r="E199" s="5">
        <f>SUMIFS(Лист2!$C$2:$C$505,Лист2!$A$2:$A$505, Лист1!A199,Лист2!$B$2:$B$505,Лист1!B199)</f>
        <v>20</v>
      </c>
      <c r="F199" s="5">
        <f>SUMIFS(Лист2!$D$2:$D$505,Лист2!$A$2:$A$505, Лист1!A199,Лист2!$B$2:$B$505,Лист1!B199)</f>
        <v>2468</v>
      </c>
      <c r="G199" s="5">
        <f>SUMIFS(Лист2!$E$2:$E$505,Лист2!$A$2:$A$505, Лист1!A199,Лист2!$B$2:$B$505,Лист1!B199)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2">
      <c r="A200" s="9">
        <v>43963</v>
      </c>
      <c r="B200" s="4" t="s">
        <v>17</v>
      </c>
      <c r="C200" s="16">
        <v>32419.5</v>
      </c>
      <c r="D200" s="16">
        <v>3080614.5</v>
      </c>
      <c r="E200" s="5">
        <f>SUMIFS(Лист2!$C$2:$C$505,Лист2!$A$2:$A$505, Лист1!A200,Лист2!$B$2:$B$505,Лист1!B200)</f>
        <v>21</v>
      </c>
      <c r="F200" s="5">
        <f>SUMIFS(Лист2!$D$2:$D$505,Лист2!$A$2:$A$505, Лист1!A200,Лист2!$B$2:$B$505,Лист1!B200)</f>
        <v>1926</v>
      </c>
      <c r="G200" s="5">
        <f>SUMIFS(Лист2!$E$2:$E$505,Лист2!$A$2:$A$505, Лист1!A200,Лист2!$B$2:$B$505,Лист1!B200)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2">
      <c r="A201" s="10">
        <v>43972</v>
      </c>
      <c r="B201" s="6" t="s">
        <v>17</v>
      </c>
      <c r="C201" s="17">
        <v>40819.5</v>
      </c>
      <c r="D201" s="17">
        <v>3810394.5</v>
      </c>
      <c r="E201" s="5">
        <f>SUMIFS(Лист2!$C$2:$C$505,Лист2!$A$2:$A$505, Лист1!A201,Лист2!$B$2:$B$505,Лист1!B201)</f>
        <v>21</v>
      </c>
      <c r="F201" s="5">
        <f>SUMIFS(Лист2!$D$2:$D$505,Лист2!$A$2:$A$505, Лист1!A201,Лист2!$B$2:$B$505,Лист1!B201)</f>
        <v>2335</v>
      </c>
      <c r="G201" s="5">
        <f>SUMIFS(Лист2!$E$2:$E$505,Лист2!$A$2:$A$505, Лист1!A201,Лист2!$B$2:$B$505,Лист1!B201)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2">
      <c r="A202" s="9">
        <v>43971</v>
      </c>
      <c r="B202" s="4" t="s">
        <v>17</v>
      </c>
      <c r="C202" s="16">
        <v>41391</v>
      </c>
      <c r="D202" s="16">
        <v>3918987</v>
      </c>
      <c r="E202" s="5">
        <f>SUMIFS(Лист2!$C$2:$C$505,Лист2!$A$2:$A$505, Лист1!A202,Лист2!$B$2:$B$505,Лист1!B202)</f>
        <v>21</v>
      </c>
      <c r="F202" s="5">
        <f>SUMIFS(Лист2!$D$2:$D$505,Лист2!$A$2:$A$505, Лист1!A202,Лист2!$B$2:$B$505,Лист1!B202)</f>
        <v>2410</v>
      </c>
      <c r="G202" s="5">
        <f>SUMIFS(Лист2!$E$2:$E$505,Лист2!$A$2:$A$505, Лист1!A202,Лист2!$B$2:$B$505,Лист1!B202)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2">
      <c r="A203" s="10">
        <v>43956</v>
      </c>
      <c r="B203" s="6" t="s">
        <v>17</v>
      </c>
      <c r="C203" s="17">
        <v>29482.5</v>
      </c>
      <c r="D203" s="17">
        <v>2648688</v>
      </c>
      <c r="E203" s="5">
        <f>SUMIFS(Лист2!$C$2:$C$505,Лист2!$A$2:$A$505, Лист1!A203,Лист2!$B$2:$B$505,Лист1!B203)</f>
        <v>20</v>
      </c>
      <c r="F203" s="5">
        <f>SUMIFS(Лист2!$D$2:$D$505,Лист2!$A$2:$A$505, Лист1!A203,Лист2!$B$2:$B$505,Лист1!B203)</f>
        <v>1757</v>
      </c>
      <c r="G203" s="5">
        <f>SUMIFS(Лист2!$E$2:$E$505,Лист2!$A$2:$A$505, Лист1!A203,Лист2!$B$2:$B$505,Лист1!B203)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2">
      <c r="A204" s="9">
        <v>43949</v>
      </c>
      <c r="B204" s="4" t="s">
        <v>17</v>
      </c>
      <c r="C204" s="16">
        <v>32181</v>
      </c>
      <c r="D204" s="16">
        <v>2863600.5</v>
      </c>
      <c r="E204" s="5">
        <f>SUMIFS(Лист2!$C$2:$C$505,Лист2!$A$2:$A$505, Лист1!A204,Лист2!$B$2:$B$505,Лист1!B204)</f>
        <v>19</v>
      </c>
      <c r="F204" s="5">
        <f>SUMIFS(Лист2!$D$2:$D$505,Лист2!$A$2:$A$505, Лист1!A204,Лист2!$B$2:$B$505,Лист1!B204)</f>
        <v>1846</v>
      </c>
      <c r="G204" s="5">
        <f>SUMIFS(Лист2!$E$2:$E$505,Лист2!$A$2:$A$505, Лист1!A204,Лист2!$B$2:$B$505,Лист1!B204)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2">
      <c r="A205" s="10">
        <v>43964</v>
      </c>
      <c r="B205" s="6" t="s">
        <v>17</v>
      </c>
      <c r="C205" s="17">
        <v>35535</v>
      </c>
      <c r="D205" s="17">
        <v>3288069</v>
      </c>
      <c r="E205" s="5">
        <f>SUMIFS(Лист2!$C$2:$C$505,Лист2!$A$2:$A$505, Лист1!A205,Лист2!$B$2:$B$505,Лист1!B205)</f>
        <v>21</v>
      </c>
      <c r="F205" s="5">
        <f>SUMIFS(Лист2!$D$2:$D$505,Лист2!$A$2:$A$505, Лист1!A205,Лист2!$B$2:$B$505,Лист1!B205)</f>
        <v>2061</v>
      </c>
      <c r="G205" s="5">
        <f>SUMIFS(Лист2!$E$2:$E$505,Лист2!$A$2:$A$505, Лист1!A205,Лист2!$B$2:$B$505,Лист1!B205)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2">
      <c r="A206" s="9">
        <v>43982</v>
      </c>
      <c r="B206" s="4" t="s">
        <v>16</v>
      </c>
      <c r="C206" s="16">
        <v>76234.5</v>
      </c>
      <c r="D206" s="16">
        <v>6500848.5</v>
      </c>
      <c r="E206" s="5">
        <f>SUMIFS(Лист2!$C$2:$C$505,Лист2!$A$2:$A$505, Лист1!A206,Лист2!$B$2:$B$505,Лист1!B206)</f>
        <v>37</v>
      </c>
      <c r="F206" s="5">
        <f>SUMIFS(Лист2!$D$2:$D$505,Лист2!$A$2:$A$505, Лист1!A206,Лист2!$B$2:$B$505,Лист1!B206)</f>
        <v>5215</v>
      </c>
      <c r="G206" s="5">
        <f>SUMIFS(Лист2!$E$2:$E$505,Лист2!$A$2:$A$505, Лист1!A206,Лист2!$B$2:$B$505,Лист1!B206)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2">
      <c r="A207" s="10">
        <v>43954</v>
      </c>
      <c r="B207" s="6" t="s">
        <v>17</v>
      </c>
      <c r="C207" s="17">
        <v>29935.5</v>
      </c>
      <c r="D207" s="17">
        <v>2720002.5</v>
      </c>
      <c r="E207" s="5">
        <f>SUMIFS(Лист2!$C$2:$C$505,Лист2!$A$2:$A$505, Лист1!A207,Лист2!$B$2:$B$505,Лист1!B207)</f>
        <v>20</v>
      </c>
      <c r="F207" s="5">
        <f>SUMIFS(Лист2!$D$2:$D$505,Лист2!$A$2:$A$505, Лист1!A207,Лист2!$B$2:$B$505,Лист1!B207)</f>
        <v>1716</v>
      </c>
      <c r="G207" s="5">
        <f>SUMIFS(Лист2!$E$2:$E$505,Лист2!$A$2:$A$505, Лист1!A207,Лист2!$B$2:$B$505,Лист1!B207)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2">
      <c r="A208" s="9">
        <v>43981</v>
      </c>
      <c r="B208" s="4" t="s">
        <v>16</v>
      </c>
      <c r="C208" s="16">
        <v>106926</v>
      </c>
      <c r="D208" s="16">
        <v>9098386.5</v>
      </c>
      <c r="E208" s="5">
        <f>SUMIFS(Лист2!$C$2:$C$505,Лист2!$A$2:$A$505, Лист1!A208,Лист2!$B$2:$B$505,Лист1!B208)</f>
        <v>37</v>
      </c>
      <c r="F208" s="5">
        <f>SUMIFS(Лист2!$D$2:$D$505,Лист2!$A$2:$A$505, Лист1!A208,Лист2!$B$2:$B$505,Лист1!B208)</f>
        <v>6645</v>
      </c>
      <c r="G208" s="5">
        <f>SUMIFS(Лист2!$E$2:$E$505,Лист2!$A$2:$A$505, Лист1!A208,Лист2!$B$2:$B$505,Лист1!B208)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2">
      <c r="A209" s="10">
        <v>43957</v>
      </c>
      <c r="B209" s="6" t="s">
        <v>17</v>
      </c>
      <c r="C209" s="17">
        <v>30342</v>
      </c>
      <c r="D209" s="17">
        <v>2738127</v>
      </c>
      <c r="E209" s="5">
        <f>SUMIFS(Лист2!$C$2:$C$505,Лист2!$A$2:$A$505, Лист1!A209,Лист2!$B$2:$B$505,Лист1!B209)</f>
        <v>20</v>
      </c>
      <c r="F209" s="5">
        <f>SUMIFS(Лист2!$D$2:$D$505,Лист2!$A$2:$A$505, Лист1!A209,Лист2!$B$2:$B$505,Лист1!B209)</f>
        <v>1747</v>
      </c>
      <c r="G209" s="5">
        <f>SUMIFS(Лист2!$E$2:$E$505,Лист2!$A$2:$A$505, Лист1!A209,Лист2!$B$2:$B$505,Лист1!B209)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2">
      <c r="A210" s="9">
        <v>43974</v>
      </c>
      <c r="B210" s="4" t="s">
        <v>17</v>
      </c>
      <c r="C210" s="16">
        <v>42999</v>
      </c>
      <c r="D210" s="16">
        <v>3883215</v>
      </c>
      <c r="E210" s="5">
        <f>SUMIFS(Лист2!$C$2:$C$505,Лист2!$A$2:$A$505, Лист1!A210,Лист2!$B$2:$B$505,Лист1!B210)</f>
        <v>21</v>
      </c>
      <c r="F210" s="5">
        <f>SUMIFS(Лист2!$D$2:$D$505,Лист2!$A$2:$A$505, Лист1!A210,Лист2!$B$2:$B$505,Лист1!B210)</f>
        <v>2460</v>
      </c>
      <c r="G210" s="5">
        <f>SUMIFS(Лист2!$E$2:$E$505,Лист2!$A$2:$A$505, Лист1!A210,Лист2!$B$2:$B$505,Лист1!B210)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2">
      <c r="A211" s="10">
        <v>43979</v>
      </c>
      <c r="B211" s="6" t="s">
        <v>16</v>
      </c>
      <c r="C211" s="17">
        <v>69945</v>
      </c>
      <c r="D211" s="17">
        <v>6101931</v>
      </c>
      <c r="E211" s="5">
        <f>SUMIFS(Лист2!$C$2:$C$505,Лист2!$A$2:$A$505, Лист1!A211,Лист2!$B$2:$B$505,Лист1!B211)</f>
        <v>37</v>
      </c>
      <c r="F211" s="5">
        <f>SUMIFS(Лист2!$D$2:$D$505,Лист2!$A$2:$A$505, Лист1!A211,Лист2!$B$2:$B$505,Лист1!B211)</f>
        <v>4840</v>
      </c>
      <c r="G211" s="5">
        <f>SUMIFS(Лист2!$E$2:$E$505,Лист2!$A$2:$A$505, Лист1!A211,Лист2!$B$2:$B$505,Лист1!B211)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2">
      <c r="A212" s="9">
        <v>43976</v>
      </c>
      <c r="B212" s="4" t="s">
        <v>17</v>
      </c>
      <c r="C212" s="16">
        <v>38740.5</v>
      </c>
      <c r="D212" s="16">
        <v>3561655.5</v>
      </c>
      <c r="E212" s="5">
        <f>SUMIFS(Лист2!$C$2:$C$505,Лист2!$A$2:$A$505, Лист1!A212,Лист2!$B$2:$B$505,Лист1!B212)</f>
        <v>21</v>
      </c>
      <c r="F212" s="5">
        <f>SUMIFS(Лист2!$D$2:$D$505,Лист2!$A$2:$A$505, Лист1!A212,Лист2!$B$2:$B$505,Лист1!B212)</f>
        <v>2330</v>
      </c>
      <c r="G212" s="5">
        <f>SUMIFS(Лист2!$E$2:$E$505,Лист2!$A$2:$A$505, Лист1!A212,Лист2!$B$2:$B$505,Лист1!B212)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2">
      <c r="A213" s="10">
        <v>43951</v>
      </c>
      <c r="B213" s="6" t="s">
        <v>17</v>
      </c>
      <c r="C213" s="17">
        <v>31231.5</v>
      </c>
      <c r="D213" s="17">
        <v>2853310.5</v>
      </c>
      <c r="E213" s="5">
        <f>SUMIFS(Лист2!$C$2:$C$505,Лист2!$A$2:$A$505, Лист1!A213,Лист2!$B$2:$B$505,Лист1!B213)</f>
        <v>20</v>
      </c>
      <c r="F213" s="5">
        <f>SUMIFS(Лист2!$D$2:$D$505,Лист2!$A$2:$A$505, Лист1!A213,Лист2!$B$2:$B$505,Лист1!B213)</f>
        <v>1756</v>
      </c>
      <c r="G213" s="5">
        <f>SUMIFS(Лист2!$E$2:$E$505,Лист2!$A$2:$A$505, Лист1!A213,Лист2!$B$2:$B$505,Лист1!B213)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2">
      <c r="A214" s="9">
        <v>43961</v>
      </c>
      <c r="B214" s="4" t="s">
        <v>17</v>
      </c>
      <c r="C214" s="16">
        <v>37489.5</v>
      </c>
      <c r="D214" s="16">
        <v>3549097.5</v>
      </c>
      <c r="E214" s="5">
        <f>SUMIFS(Лист2!$C$2:$C$505,Лист2!$A$2:$A$505, Лист1!A214,Лист2!$B$2:$B$505,Лист1!B214)</f>
        <v>21</v>
      </c>
      <c r="F214" s="5">
        <f>SUMIFS(Лист2!$D$2:$D$505,Лист2!$A$2:$A$505, Лист1!A214,Лист2!$B$2:$B$505,Лист1!B214)</f>
        <v>2120</v>
      </c>
      <c r="G214" s="5">
        <f>SUMIFS(Лист2!$E$2:$E$505,Лист2!$A$2:$A$505, Лист1!A214,Лист2!$B$2:$B$505,Лист1!B214)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2">
      <c r="A215" s="10">
        <v>43959</v>
      </c>
      <c r="B215" s="6" t="s">
        <v>17</v>
      </c>
      <c r="C215" s="17">
        <v>34399.5</v>
      </c>
      <c r="D215" s="17">
        <v>3201358.5</v>
      </c>
      <c r="E215" s="5">
        <f>SUMIFS(Лист2!$C$2:$C$505,Лист2!$A$2:$A$505, Лист1!A215,Лист2!$B$2:$B$505,Лист1!B215)</f>
        <v>21</v>
      </c>
      <c r="F215" s="5">
        <f>SUMIFS(Лист2!$D$2:$D$505,Лист2!$A$2:$A$505, Лист1!A215,Лист2!$B$2:$B$505,Лист1!B215)</f>
        <v>1957</v>
      </c>
      <c r="G215" s="5">
        <f>SUMIFS(Лист2!$E$2:$E$505,Лист2!$A$2:$A$505, Лист1!A215,Лист2!$B$2:$B$505,Лист1!B215)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2">
      <c r="A216" s="9">
        <v>43958</v>
      </c>
      <c r="B216" s="4" t="s">
        <v>17</v>
      </c>
      <c r="C216" s="16">
        <v>32851.5</v>
      </c>
      <c r="D216" s="16">
        <v>2934504</v>
      </c>
      <c r="E216" s="5">
        <f>SUMIFS(Лист2!$C$2:$C$505,Лист2!$A$2:$A$505, Лист1!A216,Лист2!$B$2:$B$505,Лист1!B216)</f>
        <v>21</v>
      </c>
      <c r="F216" s="5">
        <f>SUMIFS(Лист2!$D$2:$D$505,Лист2!$A$2:$A$505, Лист1!A216,Лист2!$B$2:$B$505,Лист1!B216)</f>
        <v>1879</v>
      </c>
      <c r="G216" s="5">
        <f>SUMIFS(Лист2!$E$2:$E$505,Лист2!$A$2:$A$505, Лист1!A216,Лист2!$B$2:$B$505,Лист1!B216)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2">
      <c r="A217" s="10">
        <v>43975</v>
      </c>
      <c r="B217" s="6" t="s">
        <v>17</v>
      </c>
      <c r="C217" s="17">
        <v>38194.5</v>
      </c>
      <c r="D217" s="17">
        <v>3449302.5</v>
      </c>
      <c r="E217" s="5">
        <f>SUMIFS(Лист2!$C$2:$C$505,Лист2!$A$2:$A$505, Лист1!A217,Лист2!$B$2:$B$505,Лист1!B217)</f>
        <v>21</v>
      </c>
      <c r="F217" s="5">
        <f>SUMIFS(Лист2!$D$2:$D$505,Лист2!$A$2:$A$505, Лист1!A217,Лист2!$B$2:$B$505,Лист1!B217)</f>
        <v>2254</v>
      </c>
      <c r="G217" s="5">
        <f>SUMIFS(Лист2!$E$2:$E$505,Лист2!$A$2:$A$505, Лист1!A217,Лист2!$B$2:$B$505,Лист1!B217)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2">
      <c r="A218" s="9">
        <v>43982</v>
      </c>
      <c r="B218" s="4" t="s">
        <v>17</v>
      </c>
      <c r="C218" s="16">
        <v>42423</v>
      </c>
      <c r="D218" s="16">
        <v>3994153.5</v>
      </c>
      <c r="E218" s="5">
        <f>SUMIFS(Лист2!$C$2:$C$505,Лист2!$A$2:$A$505, Лист1!A218,Лист2!$B$2:$B$505,Лист1!B218)</f>
        <v>23</v>
      </c>
      <c r="F218" s="5">
        <f>SUMIFS(Лист2!$D$2:$D$505,Лист2!$A$2:$A$505, Лист1!A218,Лист2!$B$2:$B$505,Лист1!B218)</f>
        <v>2522</v>
      </c>
      <c r="G218" s="5">
        <f>SUMIFS(Лист2!$E$2:$E$505,Лист2!$A$2:$A$505, Лист1!A218,Лист2!$B$2:$B$505,Лист1!B218)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2">
      <c r="A219" s="10">
        <v>43981</v>
      </c>
      <c r="B219" s="6" t="s">
        <v>17</v>
      </c>
      <c r="C219" s="17">
        <v>48286.5</v>
      </c>
      <c r="D219" s="17">
        <v>4456441.5</v>
      </c>
      <c r="E219" s="5">
        <f>SUMIFS(Лист2!$C$2:$C$505,Лист2!$A$2:$A$505, Лист1!A219,Лист2!$B$2:$B$505,Лист1!B219)</f>
        <v>22</v>
      </c>
      <c r="F219" s="5">
        <f>SUMIFS(Лист2!$D$2:$D$505,Лист2!$A$2:$A$505, Лист1!A219,Лист2!$B$2:$B$505,Лист1!B219)</f>
        <v>2793</v>
      </c>
      <c r="G219" s="5">
        <f>SUMIFS(Лист2!$E$2:$E$505,Лист2!$A$2:$A$505, Лист1!A219,Лист2!$B$2:$B$505,Лист1!B219)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2">
      <c r="A220" s="9">
        <v>43979</v>
      </c>
      <c r="B220" s="4" t="s">
        <v>17</v>
      </c>
      <c r="C220" s="16">
        <v>41442</v>
      </c>
      <c r="D220" s="16">
        <v>3893680.5</v>
      </c>
      <c r="E220" s="5">
        <f>SUMIFS(Лист2!$C$2:$C$505,Лист2!$A$2:$A$505, Лист1!A220,Лист2!$B$2:$B$505,Лист1!B220)</f>
        <v>22</v>
      </c>
      <c r="F220" s="5">
        <f>SUMIFS(Лист2!$D$2:$D$505,Лист2!$A$2:$A$505, Лист1!A220,Лист2!$B$2:$B$505,Лист1!B220)</f>
        <v>2454</v>
      </c>
      <c r="G220" s="5">
        <f>SUMIFS(Лист2!$E$2:$E$505,Лист2!$A$2:$A$505, Лист1!A220,Лист2!$B$2:$B$505,Лист1!B220)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2">
      <c r="A221" s="10">
        <v>43967</v>
      </c>
      <c r="B221" s="6" t="s">
        <v>18</v>
      </c>
      <c r="C221" s="17">
        <v>18600</v>
      </c>
      <c r="D221" s="17">
        <v>1601425.5</v>
      </c>
      <c r="E221" s="5">
        <f>SUMIFS(Лист2!$C$2:$C$505,Лист2!$A$2:$A$505, Лист1!A221,Лист2!$B$2:$B$505,Лист1!B221)</f>
        <v>15</v>
      </c>
      <c r="F221" s="5">
        <f>SUMIFS(Лист2!$D$2:$D$505,Лист2!$A$2:$A$505, Лист1!A221,Лист2!$B$2:$B$505,Лист1!B221)</f>
        <v>1111</v>
      </c>
      <c r="G221" s="5">
        <f>SUMIFS(Лист2!$E$2:$E$505,Лист2!$A$2:$A$505, Лист1!A221,Лист2!$B$2:$B$505,Лист1!B221)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2">
      <c r="A222" s="9">
        <v>43970</v>
      </c>
      <c r="B222" s="4" t="s">
        <v>18</v>
      </c>
      <c r="C222" s="16">
        <v>16638</v>
      </c>
      <c r="D222" s="16">
        <v>1364847</v>
      </c>
      <c r="E222" s="5">
        <f>SUMIFS(Лист2!$C$2:$C$505,Лист2!$A$2:$A$505, Лист1!A222,Лист2!$B$2:$B$505,Лист1!B222)</f>
        <v>16</v>
      </c>
      <c r="F222" s="5">
        <f>SUMIFS(Лист2!$D$2:$D$505,Лист2!$A$2:$A$505, Лист1!A222,Лист2!$B$2:$B$505,Лист1!B222)</f>
        <v>1012</v>
      </c>
      <c r="G222" s="5">
        <f>SUMIFS(Лист2!$E$2:$E$505,Лист2!$A$2:$A$505, Лист1!A222,Лист2!$B$2:$B$505,Лист1!B222)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2">
      <c r="A223" s="10">
        <v>43968</v>
      </c>
      <c r="B223" s="6" t="s">
        <v>18</v>
      </c>
      <c r="C223" s="17">
        <v>15609</v>
      </c>
      <c r="D223" s="17">
        <v>1377577.5</v>
      </c>
      <c r="E223" s="5">
        <f>SUMIFS(Лист2!$C$2:$C$505,Лист2!$A$2:$A$505, Лист1!A223,Лист2!$B$2:$B$505,Лист1!B223)</f>
        <v>15</v>
      </c>
      <c r="F223" s="5">
        <f>SUMIFS(Лист2!$D$2:$D$505,Лист2!$A$2:$A$505, Лист1!A223,Лист2!$B$2:$B$505,Лист1!B223)</f>
        <v>971</v>
      </c>
      <c r="G223" s="5">
        <f>SUMIFS(Лист2!$E$2:$E$505,Лист2!$A$2:$A$505, Лист1!A223,Лист2!$B$2:$B$505,Лист1!B223)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2">
      <c r="A224" s="9">
        <v>43960</v>
      </c>
      <c r="B224" s="4" t="s">
        <v>18</v>
      </c>
      <c r="C224" s="16">
        <v>13948.5</v>
      </c>
      <c r="D224" s="16">
        <v>1222932</v>
      </c>
      <c r="E224" s="5">
        <f>SUMIFS(Лист2!$C$2:$C$505,Лист2!$A$2:$A$505, Лист1!A224,Лист2!$B$2:$B$505,Лист1!B224)</f>
        <v>15</v>
      </c>
      <c r="F224" s="5">
        <f>SUMIFS(Лист2!$D$2:$D$505,Лист2!$A$2:$A$505, Лист1!A224,Лист2!$B$2:$B$505,Лист1!B224)</f>
        <v>849</v>
      </c>
      <c r="G224" s="5">
        <f>SUMIFS(Лист2!$E$2:$E$505,Лист2!$A$2:$A$505, Лист1!A224,Лист2!$B$2:$B$505,Лист1!B224)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2">
      <c r="A225" s="10">
        <v>43955</v>
      </c>
      <c r="B225" s="6" t="s">
        <v>18</v>
      </c>
      <c r="C225" s="17">
        <v>12301.5</v>
      </c>
      <c r="D225" s="17">
        <v>1085211</v>
      </c>
      <c r="E225" s="5">
        <f>SUMIFS(Лист2!$C$2:$C$505,Лист2!$A$2:$A$505, Лист1!A225,Лист2!$B$2:$B$505,Лист1!B225)</f>
        <v>15</v>
      </c>
      <c r="F225" s="5">
        <f>SUMIFS(Лист2!$D$2:$D$505,Лист2!$A$2:$A$505, Лист1!A225,Лист2!$B$2:$B$505,Лист1!B225)</f>
        <v>750</v>
      </c>
      <c r="G225" s="5">
        <f>SUMIFS(Лист2!$E$2:$E$505,Лист2!$A$2:$A$505, Лист1!A225,Лист2!$B$2:$B$505,Лист1!B225)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2">
      <c r="A226" s="9">
        <v>43950</v>
      </c>
      <c r="B226" s="4" t="s">
        <v>18</v>
      </c>
      <c r="C226" s="16">
        <v>13014</v>
      </c>
      <c r="D226" s="16">
        <v>1115992.5</v>
      </c>
      <c r="E226" s="5">
        <f>SUMIFS(Лист2!$C$2:$C$505,Лист2!$A$2:$A$505, Лист1!A226,Лист2!$B$2:$B$505,Лист1!B226)</f>
        <v>15</v>
      </c>
      <c r="F226" s="5">
        <f>SUMIFS(Лист2!$D$2:$D$505,Лист2!$A$2:$A$505, Лист1!A226,Лист2!$B$2:$B$505,Лист1!B226)</f>
        <v>786</v>
      </c>
      <c r="G226" s="5">
        <f>SUMIFS(Лист2!$E$2:$E$505,Лист2!$A$2:$A$505, Лист1!A226,Лист2!$B$2:$B$505,Лист1!B226)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2">
      <c r="A227" s="10">
        <v>43953</v>
      </c>
      <c r="B227" s="6" t="s">
        <v>18</v>
      </c>
      <c r="C227" s="17">
        <v>12313.5</v>
      </c>
      <c r="D227" s="17">
        <v>1053220.5</v>
      </c>
      <c r="E227" s="5">
        <f>SUMIFS(Лист2!$C$2:$C$505,Лист2!$A$2:$A$505, Лист1!A227,Лист2!$B$2:$B$505,Лист1!B227)</f>
        <v>15</v>
      </c>
      <c r="F227" s="5">
        <f>SUMIFS(Лист2!$D$2:$D$505,Лист2!$A$2:$A$505, Лист1!A227,Лист2!$B$2:$B$505,Лист1!B227)</f>
        <v>751</v>
      </c>
      <c r="G227" s="5">
        <f>SUMIFS(Лист2!$E$2:$E$505,Лист2!$A$2:$A$505, Лист1!A227,Лист2!$B$2:$B$505,Лист1!B227)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2">
      <c r="A228" s="9">
        <v>43977</v>
      </c>
      <c r="B228" s="4" t="s">
        <v>18</v>
      </c>
      <c r="C228" s="16">
        <v>17391</v>
      </c>
      <c r="D228" s="16">
        <v>1489132.5</v>
      </c>
      <c r="E228" s="5">
        <f>SUMIFS(Лист2!$C$2:$C$505,Лист2!$A$2:$A$505, Лист1!A228,Лист2!$B$2:$B$505,Лист1!B228)</f>
        <v>17</v>
      </c>
      <c r="F228" s="5">
        <f>SUMIFS(Лист2!$D$2:$D$505,Лист2!$A$2:$A$505, Лист1!A228,Лист2!$B$2:$B$505,Лист1!B228)</f>
        <v>1140</v>
      </c>
      <c r="G228" s="5">
        <f>SUMIFS(Лист2!$E$2:$E$505,Лист2!$A$2:$A$505, Лист1!A228,Лист2!$B$2:$B$505,Лист1!B228)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2">
      <c r="A229" s="10">
        <v>43952</v>
      </c>
      <c r="B229" s="6" t="s">
        <v>18</v>
      </c>
      <c r="C229" s="17">
        <v>17113.5</v>
      </c>
      <c r="D229" s="17">
        <v>1465842</v>
      </c>
      <c r="E229" s="5">
        <f>SUMIFS(Лист2!$C$2:$C$505,Лист2!$A$2:$A$505, Лист1!A229,Лист2!$B$2:$B$505,Лист1!B229)</f>
        <v>15</v>
      </c>
      <c r="F229" s="5">
        <f>SUMIFS(Лист2!$D$2:$D$505,Лист2!$A$2:$A$505, Лист1!A229,Лист2!$B$2:$B$505,Лист1!B229)</f>
        <v>996</v>
      </c>
      <c r="G229" s="5">
        <f>SUMIFS(Лист2!$E$2:$E$505,Лист2!$A$2:$A$505, Лист1!A229,Лист2!$B$2:$B$505,Лист1!B229)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2">
      <c r="A230" s="9">
        <v>43963</v>
      </c>
      <c r="B230" s="4" t="s">
        <v>18</v>
      </c>
      <c r="C230" s="16">
        <v>12802.5</v>
      </c>
      <c r="D230" s="16">
        <v>1123830</v>
      </c>
      <c r="E230" s="5">
        <f>SUMIFS(Лист2!$C$2:$C$505,Лист2!$A$2:$A$505, Лист1!A230,Лист2!$B$2:$B$505,Лист1!B230)</f>
        <v>15</v>
      </c>
      <c r="F230" s="5">
        <f>SUMIFS(Лист2!$D$2:$D$505,Лист2!$A$2:$A$505, Лист1!A230,Лист2!$B$2:$B$505,Лист1!B230)</f>
        <v>845</v>
      </c>
      <c r="G230" s="5">
        <f>SUMIFS(Лист2!$E$2:$E$505,Лист2!$A$2:$A$505, Лист1!A230,Лист2!$B$2:$B$505,Лист1!B230)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2">
      <c r="A231" s="10">
        <v>43972</v>
      </c>
      <c r="B231" s="6" t="s">
        <v>18</v>
      </c>
      <c r="C231" s="17">
        <v>16554</v>
      </c>
      <c r="D231" s="17">
        <v>1380751.5</v>
      </c>
      <c r="E231" s="5">
        <f>SUMIFS(Лист2!$C$2:$C$505,Лист2!$A$2:$A$505, Лист1!A231,Лист2!$B$2:$B$505,Лист1!B231)</f>
        <v>17</v>
      </c>
      <c r="F231" s="5">
        <f>SUMIFS(Лист2!$D$2:$D$505,Лист2!$A$2:$A$505, Лист1!A231,Лист2!$B$2:$B$505,Лист1!B231)</f>
        <v>1045</v>
      </c>
      <c r="G231" s="5">
        <f>SUMIFS(Лист2!$E$2:$E$505,Лист2!$A$2:$A$505, Лист1!A231,Лист2!$B$2:$B$505,Лист1!B231)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2">
      <c r="A232" s="9">
        <v>43971</v>
      </c>
      <c r="B232" s="4" t="s">
        <v>18</v>
      </c>
      <c r="C232" s="16">
        <v>17329.5</v>
      </c>
      <c r="D232" s="16">
        <v>1430254.5</v>
      </c>
      <c r="E232" s="5">
        <f>SUMIFS(Лист2!$C$2:$C$505,Лист2!$A$2:$A$505, Лист1!A232,Лист2!$B$2:$B$505,Лист1!B232)</f>
        <v>16</v>
      </c>
      <c r="F232" s="5">
        <f>SUMIFS(Лист2!$D$2:$D$505,Лист2!$A$2:$A$505, Лист1!A232,Лист2!$B$2:$B$505,Лист1!B232)</f>
        <v>1050</v>
      </c>
      <c r="G232" s="5">
        <f>SUMIFS(Лист2!$E$2:$E$505,Лист2!$A$2:$A$505, Лист1!A232,Лист2!$B$2:$B$505,Лист1!B232)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2">
      <c r="A233" s="10">
        <v>43956</v>
      </c>
      <c r="B233" s="6" t="s">
        <v>18</v>
      </c>
      <c r="C233" s="17">
        <v>15987</v>
      </c>
      <c r="D233" s="17">
        <v>1384179</v>
      </c>
      <c r="E233" s="5">
        <f>SUMIFS(Лист2!$C$2:$C$505,Лист2!$A$2:$A$505, Лист1!A233,Лист2!$B$2:$B$505,Лист1!B233)</f>
        <v>15</v>
      </c>
      <c r="F233" s="5">
        <f>SUMIFS(Лист2!$D$2:$D$505,Лист2!$A$2:$A$505, Лист1!A233,Лист2!$B$2:$B$505,Лист1!B233)</f>
        <v>922</v>
      </c>
      <c r="G233" s="5">
        <f>SUMIFS(Лист2!$E$2:$E$505,Лист2!$A$2:$A$505, Лист1!A233,Лист2!$B$2:$B$505,Лист1!B233)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2">
      <c r="A234" s="9">
        <v>43949</v>
      </c>
      <c r="B234" s="4" t="s">
        <v>18</v>
      </c>
      <c r="C234" s="16">
        <v>13303.5</v>
      </c>
      <c r="D234" s="16">
        <v>1102887</v>
      </c>
      <c r="E234" s="5">
        <f>SUMIFS(Лист2!$C$2:$C$505,Лист2!$A$2:$A$505, Лист1!A234,Лист2!$B$2:$B$505,Лист1!B234)</f>
        <v>15</v>
      </c>
      <c r="F234" s="5">
        <f>SUMIFS(Лист2!$D$2:$D$505,Лист2!$A$2:$A$505, Лист1!A234,Лист2!$B$2:$B$505,Лист1!B234)</f>
        <v>780</v>
      </c>
      <c r="G234" s="5">
        <f>SUMIFS(Лист2!$E$2:$E$505,Лист2!$A$2:$A$505, Лист1!A234,Лист2!$B$2:$B$505,Лист1!B234)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2">
      <c r="A235" s="10">
        <v>43964</v>
      </c>
      <c r="B235" s="6" t="s">
        <v>18</v>
      </c>
      <c r="C235" s="17">
        <v>14305.5</v>
      </c>
      <c r="D235" s="17">
        <v>1243507.5</v>
      </c>
      <c r="E235" s="5">
        <f>SUMIFS(Лист2!$C$2:$C$505,Лист2!$A$2:$A$505, Лист1!A235,Лист2!$B$2:$B$505,Лист1!B235)</f>
        <v>15</v>
      </c>
      <c r="F235" s="5">
        <f>SUMIFS(Лист2!$D$2:$D$505,Лист2!$A$2:$A$505, Лист1!A235,Лист2!$B$2:$B$505,Лист1!B235)</f>
        <v>898</v>
      </c>
      <c r="G235" s="5">
        <f>SUMIFS(Лист2!$E$2:$E$505,Лист2!$A$2:$A$505, Лист1!A235,Лист2!$B$2:$B$505,Лист1!B235)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2">
      <c r="A236" s="9">
        <v>43954</v>
      </c>
      <c r="B236" s="4" t="s">
        <v>18</v>
      </c>
      <c r="C236" s="16">
        <v>12924</v>
      </c>
      <c r="D236" s="16">
        <v>1120009.5</v>
      </c>
      <c r="E236" s="5">
        <f>SUMIFS(Лист2!$C$2:$C$505,Лист2!$A$2:$A$505, Лист1!A236,Лист2!$B$2:$B$505,Лист1!B236)</f>
        <v>15</v>
      </c>
      <c r="F236" s="5">
        <f>SUMIFS(Лист2!$D$2:$D$505,Лист2!$A$2:$A$505, Лист1!A236,Лист2!$B$2:$B$505,Лист1!B236)</f>
        <v>784</v>
      </c>
      <c r="G236" s="5">
        <f>SUMIFS(Лист2!$E$2:$E$505,Лист2!$A$2:$A$505, Лист1!A236,Лист2!$B$2:$B$505,Лист1!B236)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2">
      <c r="A237" s="10">
        <v>43957</v>
      </c>
      <c r="B237" s="6" t="s">
        <v>18</v>
      </c>
      <c r="C237" s="17">
        <v>14061</v>
      </c>
      <c r="D237" s="17">
        <v>1221057</v>
      </c>
      <c r="E237" s="5">
        <f>SUMIFS(Лист2!$C$2:$C$505,Лист2!$A$2:$A$505, Лист1!A237,Лист2!$B$2:$B$505,Лист1!B237)</f>
        <v>15</v>
      </c>
      <c r="F237" s="5">
        <f>SUMIFS(Лист2!$D$2:$D$505,Лист2!$A$2:$A$505, Лист1!A237,Лист2!$B$2:$B$505,Лист1!B237)</f>
        <v>839</v>
      </c>
      <c r="G237" s="5">
        <f>SUMIFS(Лист2!$E$2:$E$505,Лист2!$A$2:$A$505, Лист1!A237,Лист2!$B$2:$B$505,Лист1!B237)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2">
      <c r="A238" s="9">
        <v>43974</v>
      </c>
      <c r="B238" s="4" t="s">
        <v>18</v>
      </c>
      <c r="C238" s="16">
        <v>21958.5</v>
      </c>
      <c r="D238" s="16">
        <v>1854001.5</v>
      </c>
      <c r="E238" s="5">
        <f>SUMIFS(Лист2!$C$2:$C$505,Лист2!$A$2:$A$505, Лист1!A238,Лист2!$B$2:$B$505,Лист1!B238)</f>
        <v>17</v>
      </c>
      <c r="F238" s="5">
        <f>SUMIFS(Лист2!$D$2:$D$505,Лист2!$A$2:$A$505, Лист1!A238,Лист2!$B$2:$B$505,Лист1!B238)</f>
        <v>1294</v>
      </c>
      <c r="G238" s="5">
        <f>SUMIFS(Лист2!$E$2:$E$505,Лист2!$A$2:$A$505, Лист1!A238,Лист2!$B$2:$B$505,Лист1!B238)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2">
      <c r="A239" s="10">
        <v>43976</v>
      </c>
      <c r="B239" s="6" t="s">
        <v>18</v>
      </c>
      <c r="C239" s="17">
        <v>17211</v>
      </c>
      <c r="D239" s="17">
        <v>1507867.5</v>
      </c>
      <c r="E239" s="5">
        <f>SUMIFS(Лист2!$C$2:$C$505,Лист2!$A$2:$A$505, Лист1!A239,Лист2!$B$2:$B$505,Лист1!B239)</f>
        <v>17</v>
      </c>
      <c r="F239" s="5">
        <f>SUMIFS(Лист2!$D$2:$D$505,Лист2!$A$2:$A$505, Лист1!A239,Лист2!$B$2:$B$505,Лист1!B239)</f>
        <v>1142</v>
      </c>
      <c r="G239" s="5">
        <f>SUMIFS(Лист2!$E$2:$E$505,Лист2!$A$2:$A$505, Лист1!A239,Лист2!$B$2:$B$505,Лист1!B239)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2">
      <c r="A240" s="9">
        <v>43951</v>
      </c>
      <c r="B240" s="4" t="s">
        <v>18</v>
      </c>
      <c r="C240" s="16">
        <v>12753</v>
      </c>
      <c r="D240" s="16">
        <v>1103068.5</v>
      </c>
      <c r="E240" s="5">
        <f>SUMIFS(Лист2!$C$2:$C$505,Лист2!$A$2:$A$505, Лист1!A240,Лист2!$B$2:$B$505,Лист1!B240)</f>
        <v>15</v>
      </c>
      <c r="F240" s="5">
        <f>SUMIFS(Лист2!$D$2:$D$505,Лист2!$A$2:$A$505, Лист1!A240,Лист2!$B$2:$B$505,Лист1!B240)</f>
        <v>791</v>
      </c>
      <c r="G240" s="5">
        <f>SUMIFS(Лист2!$E$2:$E$505,Лист2!$A$2:$A$505, Лист1!A240,Лист2!$B$2:$B$505,Лист1!B240)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2">
      <c r="A241" s="10">
        <v>43961</v>
      </c>
      <c r="B241" s="6" t="s">
        <v>18</v>
      </c>
      <c r="C241" s="17">
        <v>16435.5</v>
      </c>
      <c r="D241" s="17">
        <v>1471537.5</v>
      </c>
      <c r="E241" s="5">
        <f>SUMIFS(Лист2!$C$2:$C$505,Лист2!$A$2:$A$505, Лист1!A241,Лист2!$B$2:$B$505,Лист1!B241)</f>
        <v>15</v>
      </c>
      <c r="F241" s="5">
        <f>SUMIFS(Лист2!$D$2:$D$505,Лист2!$A$2:$A$505, Лист1!A241,Лист2!$B$2:$B$505,Лист1!B241)</f>
        <v>950</v>
      </c>
      <c r="G241" s="5">
        <f>SUMIFS(Лист2!$E$2:$E$505,Лист2!$A$2:$A$505, Лист1!A241,Лист2!$B$2:$B$505,Лист1!B241)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2">
      <c r="A242" s="9">
        <v>43959</v>
      </c>
      <c r="B242" s="4" t="s">
        <v>18</v>
      </c>
      <c r="C242" s="16">
        <v>14494.5</v>
      </c>
      <c r="D242" s="16">
        <v>1269786</v>
      </c>
      <c r="E242" s="5">
        <f>SUMIFS(Лист2!$C$2:$C$505,Лист2!$A$2:$A$505, Лист1!A242,Лист2!$B$2:$B$505,Лист1!B242)</f>
        <v>15</v>
      </c>
      <c r="F242" s="5">
        <f>SUMIFS(Лист2!$D$2:$D$505,Лист2!$A$2:$A$505, Лист1!A242,Лист2!$B$2:$B$505,Лист1!B242)</f>
        <v>879</v>
      </c>
      <c r="G242" s="5">
        <f>SUMIFS(Лист2!$E$2:$E$505,Лист2!$A$2:$A$505, Лист1!A242,Лист2!$B$2:$B$505,Лист1!B242)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2">
      <c r="A243" s="10">
        <v>43958</v>
      </c>
      <c r="B243" s="6" t="s">
        <v>18</v>
      </c>
      <c r="C243" s="17">
        <v>12705</v>
      </c>
      <c r="D243" s="17">
        <v>1123894.5</v>
      </c>
      <c r="E243" s="5">
        <f>SUMIFS(Лист2!$C$2:$C$505,Лист2!$A$2:$A$505, Лист1!A243,Лист2!$B$2:$B$505,Лист1!B243)</f>
        <v>15</v>
      </c>
      <c r="F243" s="5">
        <f>SUMIFS(Лист2!$D$2:$D$505,Лист2!$A$2:$A$505, Лист1!A243,Лист2!$B$2:$B$505,Лист1!B243)</f>
        <v>805</v>
      </c>
      <c r="G243" s="5">
        <f>SUMIFS(Лист2!$E$2:$E$505,Лист2!$A$2:$A$505, Лист1!A243,Лист2!$B$2:$B$505,Лист1!B243)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2">
      <c r="A244" s="9">
        <v>43975</v>
      </c>
      <c r="B244" s="4" t="s">
        <v>18</v>
      </c>
      <c r="C244" s="16">
        <v>18075</v>
      </c>
      <c r="D244" s="16">
        <v>1548099</v>
      </c>
      <c r="E244" s="5">
        <f>SUMIFS(Лист2!$C$2:$C$505,Лист2!$A$2:$A$505, Лист1!A244,Лист2!$B$2:$B$505,Лист1!B244)</f>
        <v>17</v>
      </c>
      <c r="F244" s="5">
        <f>SUMIFS(Лист2!$D$2:$D$505,Лист2!$A$2:$A$505, Лист1!A244,Лист2!$B$2:$B$505,Лист1!B244)</f>
        <v>1128</v>
      </c>
      <c r="G244" s="5">
        <f>SUMIFS(Лист2!$E$2:$E$505,Лист2!$A$2:$A$505, Лист1!A244,Лист2!$B$2:$B$505,Лист1!B244)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2">
      <c r="A245" s="10">
        <v>43967</v>
      </c>
      <c r="B245" s="6" t="s">
        <v>19</v>
      </c>
      <c r="C245" s="17">
        <v>13120.5</v>
      </c>
      <c r="D245" s="17">
        <v>1215033</v>
      </c>
      <c r="E245" s="5">
        <f>SUMIFS(Лист2!$C$2:$C$505,Лист2!$A$2:$A$505, Лист1!A245,Лист2!$B$2:$B$505,Лист1!B245)</f>
        <v>15</v>
      </c>
      <c r="F245" s="5">
        <f>SUMIFS(Лист2!$D$2:$D$505,Лист2!$A$2:$A$505, Лист1!A245,Лист2!$B$2:$B$505,Лист1!B245)</f>
        <v>747</v>
      </c>
      <c r="G245" s="5">
        <f>SUMIFS(Лист2!$E$2:$E$505,Лист2!$A$2:$A$505, Лист1!A245,Лист2!$B$2:$B$505,Лист1!B245)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2">
      <c r="A246" s="9">
        <v>43970</v>
      </c>
      <c r="B246" s="4" t="s">
        <v>19</v>
      </c>
      <c r="C246" s="16">
        <v>16237.5</v>
      </c>
      <c r="D246" s="16">
        <v>1403047.5</v>
      </c>
      <c r="E246" s="5">
        <f>SUMIFS(Лист2!$C$2:$C$505,Лист2!$A$2:$A$505, Лист1!A246,Лист2!$B$2:$B$505,Лист1!B246)</f>
        <v>15</v>
      </c>
      <c r="F246" s="5">
        <f>SUMIFS(Лист2!$D$2:$D$505,Лист2!$A$2:$A$505, Лист1!A246,Лист2!$B$2:$B$505,Лист1!B246)</f>
        <v>930</v>
      </c>
      <c r="G246" s="5">
        <f>SUMIFS(Лист2!$E$2:$E$505,Лист2!$A$2:$A$505, Лист1!A246,Лист2!$B$2:$B$505,Лист1!B246)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2">
      <c r="A247" s="10">
        <v>43968</v>
      </c>
      <c r="B247" s="6" t="s">
        <v>19</v>
      </c>
      <c r="C247" s="17">
        <v>11967</v>
      </c>
      <c r="D247" s="17">
        <v>1060489.5</v>
      </c>
      <c r="E247" s="5">
        <f>SUMIFS(Лист2!$C$2:$C$505,Лист2!$A$2:$A$505, Лист1!A247,Лист2!$B$2:$B$505,Лист1!B247)</f>
        <v>15</v>
      </c>
      <c r="F247" s="5">
        <f>SUMIFS(Лист2!$D$2:$D$505,Лист2!$A$2:$A$505, Лист1!A247,Лист2!$B$2:$B$505,Лист1!B247)</f>
        <v>692</v>
      </c>
      <c r="G247" s="5">
        <f>SUMIFS(Лист2!$E$2:$E$505,Лист2!$A$2:$A$505, Лист1!A247,Лист2!$B$2:$B$505,Лист1!B247)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2">
      <c r="A248" s="9">
        <v>43960</v>
      </c>
      <c r="B248" s="4" t="s">
        <v>19</v>
      </c>
      <c r="C248" s="16">
        <v>12037.5</v>
      </c>
      <c r="D248" s="16">
        <v>1081216.5</v>
      </c>
      <c r="E248" s="5">
        <f>SUMIFS(Лист2!$C$2:$C$505,Лист2!$A$2:$A$505, Лист1!A248,Лист2!$B$2:$B$505,Лист1!B248)</f>
        <v>15</v>
      </c>
      <c r="F248" s="5">
        <f>SUMIFS(Лист2!$D$2:$D$505,Лист2!$A$2:$A$505, Лист1!A248,Лист2!$B$2:$B$505,Лист1!B248)</f>
        <v>623</v>
      </c>
      <c r="G248" s="5">
        <f>SUMIFS(Лист2!$E$2:$E$505,Лист2!$A$2:$A$505, Лист1!A248,Лист2!$B$2:$B$505,Лист1!B248)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2">
      <c r="A249" s="10">
        <v>43955</v>
      </c>
      <c r="B249" s="6" t="s">
        <v>19</v>
      </c>
      <c r="C249" s="17">
        <v>7087.5</v>
      </c>
      <c r="D249" s="17">
        <v>610855.5</v>
      </c>
      <c r="E249" s="5">
        <f>SUMIFS(Лист2!$C$2:$C$505,Лист2!$A$2:$A$505, Лист1!A249,Лист2!$B$2:$B$505,Лист1!B249)</f>
        <v>15</v>
      </c>
      <c r="F249" s="5">
        <f>SUMIFS(Лист2!$D$2:$D$505,Лист2!$A$2:$A$505, Лист1!A249,Лист2!$B$2:$B$505,Лист1!B249)</f>
        <v>390</v>
      </c>
      <c r="G249" s="5">
        <f>SUMIFS(Лист2!$E$2:$E$505,Лист2!$A$2:$A$505, Лист1!A249,Лист2!$B$2:$B$505,Лист1!B249)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2">
      <c r="A250" s="9">
        <v>43950</v>
      </c>
      <c r="B250" s="4" t="s">
        <v>20</v>
      </c>
      <c r="C250" s="16">
        <v>25816.5</v>
      </c>
      <c r="D250" s="16">
        <v>2360914.5</v>
      </c>
      <c r="E250" s="5">
        <f>SUMIFS(Лист2!$C$2:$C$505,Лист2!$A$2:$A$505, Лист1!A250,Лист2!$B$2:$B$505,Лист1!B250)</f>
        <v>18</v>
      </c>
      <c r="F250" s="5">
        <f>SUMIFS(Лист2!$D$2:$D$505,Лист2!$A$2:$A$505, Лист1!A250,Лист2!$B$2:$B$505,Лист1!B250)</f>
        <v>1599</v>
      </c>
      <c r="G250" s="5">
        <f>SUMIFS(Лист2!$E$2:$E$505,Лист2!$A$2:$A$505, Лист1!A250,Лист2!$B$2:$B$505,Лист1!B250)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2">
      <c r="A251" s="10">
        <v>43953</v>
      </c>
      <c r="B251" s="6" t="s">
        <v>19</v>
      </c>
      <c r="C251" s="17">
        <v>4624.5</v>
      </c>
      <c r="D251" s="17">
        <v>433243.5</v>
      </c>
      <c r="E251" s="5">
        <f>SUMIFS(Лист2!$C$2:$C$505,Лист2!$A$2:$A$505, Лист1!A251,Лист2!$B$2:$B$505,Лист1!B251)</f>
        <v>15</v>
      </c>
      <c r="F251" s="5">
        <f>SUMIFS(Лист2!$D$2:$D$505,Лист2!$A$2:$A$505, Лист1!A251,Лист2!$B$2:$B$505,Лист1!B251)</f>
        <v>274</v>
      </c>
      <c r="G251" s="5">
        <f>SUMIFS(Лист2!$E$2:$E$505,Лист2!$A$2:$A$505, Лист1!A251,Лист2!$B$2:$B$505,Лист1!B251)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2">
      <c r="A252" s="9">
        <v>43977</v>
      </c>
      <c r="B252" s="4" t="s">
        <v>19</v>
      </c>
      <c r="C252" s="16">
        <v>12259.5</v>
      </c>
      <c r="D252" s="16">
        <v>1152054</v>
      </c>
      <c r="E252" s="5">
        <f>SUMIFS(Лист2!$C$2:$C$505,Лист2!$A$2:$A$505, Лист1!A252,Лист2!$B$2:$B$505,Лист1!B252)</f>
        <v>15</v>
      </c>
      <c r="F252" s="5">
        <f>SUMIFS(Лист2!$D$2:$D$505,Лист2!$A$2:$A$505, Лист1!A252,Лист2!$B$2:$B$505,Лист1!B252)</f>
        <v>812</v>
      </c>
      <c r="G252" s="5">
        <f>SUMIFS(Лист2!$E$2:$E$505,Лист2!$A$2:$A$505, Лист1!A252,Лист2!$B$2:$B$505,Лист1!B252)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2">
      <c r="A253" s="10">
        <v>43952</v>
      </c>
      <c r="B253" s="6" t="s">
        <v>19</v>
      </c>
      <c r="C253" s="17">
        <v>5446.5</v>
      </c>
      <c r="D253" s="17">
        <v>505572</v>
      </c>
      <c r="E253" s="5">
        <f>SUMIFS(Лист2!$C$2:$C$505,Лист2!$A$2:$A$505, Лист1!A253,Лист2!$B$2:$B$505,Лист1!B253)</f>
        <v>15</v>
      </c>
      <c r="F253" s="5">
        <f>SUMIFS(Лист2!$D$2:$D$505,Лист2!$A$2:$A$505, Лист1!A253,Лист2!$B$2:$B$505,Лист1!B253)</f>
        <v>294</v>
      </c>
      <c r="G253" s="5">
        <f>SUMIFS(Лист2!$E$2:$E$505,Лист2!$A$2:$A$505, Лист1!A253,Лист2!$B$2:$B$505,Лист1!B253)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2">
      <c r="A254" s="9">
        <v>43963</v>
      </c>
      <c r="B254" s="4" t="s">
        <v>19</v>
      </c>
      <c r="C254" s="16">
        <v>11296.5</v>
      </c>
      <c r="D254" s="16">
        <v>989632.5</v>
      </c>
      <c r="E254" s="5">
        <f>SUMIFS(Лист2!$C$2:$C$505,Лист2!$A$2:$A$505, Лист1!A254,Лист2!$B$2:$B$505,Лист1!B254)</f>
        <v>15</v>
      </c>
      <c r="F254" s="5">
        <f>SUMIFS(Лист2!$D$2:$D$505,Лист2!$A$2:$A$505, Лист1!A254,Лист2!$B$2:$B$505,Лист1!B254)</f>
        <v>624</v>
      </c>
      <c r="G254" s="5">
        <f>SUMIFS(Лист2!$E$2:$E$505,Лист2!$A$2:$A$505, Лист1!A254,Лист2!$B$2:$B$505,Лист1!B254)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2">
      <c r="A255" s="10">
        <v>43972</v>
      </c>
      <c r="B255" s="6" t="s">
        <v>19</v>
      </c>
      <c r="C255" s="17">
        <v>12135</v>
      </c>
      <c r="D255" s="17">
        <v>1103623.5</v>
      </c>
      <c r="E255" s="5">
        <f>SUMIFS(Лист2!$C$2:$C$505,Лист2!$A$2:$A$505, Лист1!A255,Лист2!$B$2:$B$505,Лист1!B255)</f>
        <v>15</v>
      </c>
      <c r="F255" s="5">
        <f>SUMIFS(Лист2!$D$2:$D$505,Лист2!$A$2:$A$505, Лист1!A255,Лист2!$B$2:$B$505,Лист1!B255)</f>
        <v>749</v>
      </c>
      <c r="G255" s="5">
        <f>SUMIFS(Лист2!$E$2:$E$505,Лист2!$A$2:$A$505, Лист1!A255,Лист2!$B$2:$B$505,Лист1!B255)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2">
      <c r="A256" s="9">
        <v>43971</v>
      </c>
      <c r="B256" s="4" t="s">
        <v>19</v>
      </c>
      <c r="C256" s="16">
        <v>12630</v>
      </c>
      <c r="D256" s="16">
        <v>1104858</v>
      </c>
      <c r="E256" s="5">
        <f>SUMIFS(Лист2!$C$2:$C$505,Лист2!$A$2:$A$505, Лист1!A256,Лист2!$B$2:$B$505,Лист1!B256)</f>
        <v>15</v>
      </c>
      <c r="F256" s="5">
        <f>SUMIFS(Лист2!$D$2:$D$505,Лист2!$A$2:$A$505, Лист1!A256,Лист2!$B$2:$B$505,Лист1!B256)</f>
        <v>760</v>
      </c>
      <c r="G256" s="5">
        <f>SUMIFS(Лист2!$E$2:$E$505,Лист2!$A$2:$A$505, Лист1!A256,Лист2!$B$2:$B$505,Лист1!B256)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2">
      <c r="A257" s="10">
        <v>43956</v>
      </c>
      <c r="B257" s="6" t="s">
        <v>19</v>
      </c>
      <c r="C257" s="17">
        <v>8223</v>
      </c>
      <c r="D257" s="17">
        <v>694593</v>
      </c>
      <c r="E257" s="5">
        <f>SUMIFS(Лист2!$C$2:$C$505,Лист2!$A$2:$A$505, Лист1!A257,Лист2!$B$2:$B$505,Лист1!B257)</f>
        <v>15</v>
      </c>
      <c r="F257" s="5">
        <f>SUMIFS(Лист2!$D$2:$D$505,Лист2!$A$2:$A$505, Лист1!A257,Лист2!$B$2:$B$505,Лист1!B257)</f>
        <v>455</v>
      </c>
      <c r="G257" s="5">
        <f>SUMIFS(Лист2!$E$2:$E$505,Лист2!$A$2:$A$505, Лист1!A257,Лист2!$B$2:$B$505,Лист1!B257)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2">
      <c r="A258" s="9">
        <v>43949</v>
      </c>
      <c r="B258" s="4" t="s">
        <v>20</v>
      </c>
      <c r="C258" s="16">
        <v>25149</v>
      </c>
      <c r="D258" s="16">
        <v>2277072</v>
      </c>
      <c r="E258" s="5">
        <f>SUMIFS(Лист2!$C$2:$C$505,Лист2!$A$2:$A$505, Лист1!A258,Лист2!$B$2:$B$505,Лист1!B258)</f>
        <v>18</v>
      </c>
      <c r="F258" s="5">
        <f>SUMIFS(Лист2!$D$2:$D$505,Лист2!$A$2:$A$505, Лист1!A258,Лист2!$B$2:$B$505,Лист1!B258)</f>
        <v>1505</v>
      </c>
      <c r="G258" s="5">
        <f>SUMIFS(Лист2!$E$2:$E$505,Лист2!$A$2:$A$505, Лист1!A258,Лист2!$B$2:$B$505,Лист1!B258)</f>
        <v>1368</v>
      </c>
      <c r="H258">
        <f t="shared" ref="H258:H321" si="8">D258 / E258</f>
        <v>126504</v>
      </c>
      <c r="I258">
        <f t="shared" si="7"/>
        <v>18</v>
      </c>
    </row>
    <row r="259" spans="1:9" ht="14.25" customHeight="1" x14ac:dyDescent="0.2">
      <c r="A259" s="10">
        <v>43964</v>
      </c>
      <c r="B259" s="6" t="s">
        <v>19</v>
      </c>
      <c r="C259" s="17">
        <v>10401</v>
      </c>
      <c r="D259" s="17">
        <v>949912.5</v>
      </c>
      <c r="E259" s="5">
        <f>SUMIFS(Лист2!$C$2:$C$505,Лист2!$A$2:$A$505, Лист1!A259,Лист2!$B$2:$B$505,Лист1!B259)</f>
        <v>15</v>
      </c>
      <c r="F259" s="5">
        <f>SUMIFS(Лист2!$D$2:$D$505,Лист2!$A$2:$A$505, Лист1!A259,Лист2!$B$2:$B$505,Лист1!B259)</f>
        <v>599</v>
      </c>
      <c r="G259" s="5">
        <f>SUMIFS(Лист2!$E$2:$E$505,Лист2!$A$2:$A$505, Лист1!A259,Лист2!$B$2:$B$505,Лист1!B259)</f>
        <v>515</v>
      </c>
      <c r="H259">
        <f t="shared" si="8"/>
        <v>63327.5</v>
      </c>
      <c r="I259">
        <f t="shared" ref="I259:I322" si="9">WEEKNUM(A259,2)</f>
        <v>20</v>
      </c>
    </row>
    <row r="260" spans="1:9" ht="14.25" customHeight="1" x14ac:dyDescent="0.2">
      <c r="A260" s="9">
        <v>43982</v>
      </c>
      <c r="B260" s="4" t="s">
        <v>18</v>
      </c>
      <c r="C260" s="16">
        <v>17689.5</v>
      </c>
      <c r="D260" s="16">
        <v>1592119.5</v>
      </c>
      <c r="E260" s="5">
        <f>SUMIFS(Лист2!$C$2:$C$505,Лист2!$A$2:$A$505, Лист1!A260,Лист2!$B$2:$B$505,Лист1!B260)</f>
        <v>17</v>
      </c>
      <c r="F260" s="5">
        <f>SUMIFS(Лист2!$D$2:$D$505,Лист2!$A$2:$A$505, Лист1!A260,Лист2!$B$2:$B$505,Лист1!B260)</f>
        <v>1186</v>
      </c>
      <c r="G260" s="5">
        <f>SUMIFS(Лист2!$E$2:$E$505,Лист2!$A$2:$A$505, Лист1!A260,Лист2!$B$2:$B$505,Лист1!B260)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2">
      <c r="A261" s="10">
        <v>43954</v>
      </c>
      <c r="B261" s="6" t="s">
        <v>19</v>
      </c>
      <c r="C261" s="17">
        <v>8127</v>
      </c>
      <c r="D261" s="17">
        <v>665302.5</v>
      </c>
      <c r="E261" s="5">
        <f>SUMIFS(Лист2!$C$2:$C$505,Лист2!$A$2:$A$505, Лист1!A261,Лист2!$B$2:$B$505,Лист1!B261)</f>
        <v>15</v>
      </c>
      <c r="F261" s="5">
        <f>SUMIFS(Лист2!$D$2:$D$505,Лист2!$A$2:$A$505, Лист1!A261,Лист2!$B$2:$B$505,Лист1!B261)</f>
        <v>455</v>
      </c>
      <c r="G261" s="5">
        <f>SUMIFS(Лист2!$E$2:$E$505,Лист2!$A$2:$A$505, Лист1!A261,Лист2!$B$2:$B$505,Лист1!B261)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2">
      <c r="A262" s="9">
        <v>43981</v>
      </c>
      <c r="B262" s="4" t="s">
        <v>18</v>
      </c>
      <c r="C262" s="16">
        <v>27250.5</v>
      </c>
      <c r="D262" s="16">
        <v>2457252</v>
      </c>
      <c r="E262" s="5">
        <f>SUMIFS(Лист2!$C$2:$C$505,Лист2!$A$2:$A$505, Лист1!A262,Лист2!$B$2:$B$505,Лист1!B262)</f>
        <v>17</v>
      </c>
      <c r="F262" s="5">
        <f>SUMIFS(Лист2!$D$2:$D$505,Лист2!$A$2:$A$505, Лист1!A262,Лист2!$B$2:$B$505,Лист1!B262)</f>
        <v>1697</v>
      </c>
      <c r="G262" s="5">
        <f>SUMIFS(Лист2!$E$2:$E$505,Лист2!$A$2:$A$505, Лист1!A262,Лист2!$B$2:$B$505,Лист1!B262)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2">
      <c r="A263" s="10">
        <v>43957</v>
      </c>
      <c r="B263" s="6" t="s">
        <v>19</v>
      </c>
      <c r="C263" s="17">
        <v>8464.5</v>
      </c>
      <c r="D263" s="17">
        <v>739291.5</v>
      </c>
      <c r="E263" s="5">
        <f>SUMIFS(Лист2!$C$2:$C$505,Лист2!$A$2:$A$505, Лист1!A263,Лист2!$B$2:$B$505,Лист1!B263)</f>
        <v>15</v>
      </c>
      <c r="F263" s="5">
        <f>SUMIFS(Лист2!$D$2:$D$505,Лист2!$A$2:$A$505, Лист1!A263,Лист2!$B$2:$B$505,Лист1!B263)</f>
        <v>467</v>
      </c>
      <c r="G263" s="5">
        <f>SUMIFS(Лист2!$E$2:$E$505,Лист2!$A$2:$A$505, Лист1!A263,Лист2!$B$2:$B$505,Лист1!B263)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2">
      <c r="A264" s="9">
        <v>43974</v>
      </c>
      <c r="B264" s="4" t="s">
        <v>19</v>
      </c>
      <c r="C264" s="16">
        <v>14167.5</v>
      </c>
      <c r="D264" s="16">
        <v>1315075.5</v>
      </c>
      <c r="E264" s="5">
        <f>SUMIFS(Лист2!$C$2:$C$505,Лист2!$A$2:$A$505, Лист1!A264,Лист2!$B$2:$B$505,Лист1!B264)</f>
        <v>15</v>
      </c>
      <c r="F264" s="5">
        <f>SUMIFS(Лист2!$D$2:$D$505,Лист2!$A$2:$A$505, Лист1!A264,Лист2!$B$2:$B$505,Лист1!B264)</f>
        <v>840</v>
      </c>
      <c r="G264" s="5">
        <f>SUMIFS(Лист2!$E$2:$E$505,Лист2!$A$2:$A$505, Лист1!A264,Лист2!$B$2:$B$505,Лист1!B264)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2">
      <c r="A265" s="10">
        <v>43979</v>
      </c>
      <c r="B265" s="6" t="s">
        <v>18</v>
      </c>
      <c r="C265" s="17">
        <v>16500</v>
      </c>
      <c r="D265" s="17">
        <v>1487928</v>
      </c>
      <c r="E265" s="5">
        <f>SUMIFS(Лист2!$C$2:$C$505,Лист2!$A$2:$A$505, Лист1!A265,Лист2!$B$2:$B$505,Лист1!B265)</f>
        <v>17</v>
      </c>
      <c r="F265" s="5">
        <f>SUMIFS(Лист2!$D$2:$D$505,Лист2!$A$2:$A$505, Лист1!A265,Лист2!$B$2:$B$505,Лист1!B265)</f>
        <v>1097</v>
      </c>
      <c r="G265" s="5">
        <f>SUMIFS(Лист2!$E$2:$E$505,Лист2!$A$2:$A$505, Лист1!A265,Лист2!$B$2:$B$505,Лист1!B265)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2">
      <c r="A266" s="9">
        <v>43976</v>
      </c>
      <c r="B266" s="4" t="s">
        <v>19</v>
      </c>
      <c r="C266" s="16">
        <v>13260</v>
      </c>
      <c r="D266" s="16">
        <v>1230687</v>
      </c>
      <c r="E266" s="5">
        <f>SUMIFS(Лист2!$C$2:$C$505,Лист2!$A$2:$A$505, Лист1!A266,Лист2!$B$2:$B$505,Лист1!B266)</f>
        <v>15</v>
      </c>
      <c r="F266" s="5">
        <f>SUMIFS(Лист2!$D$2:$D$505,Лист2!$A$2:$A$505, Лист1!A266,Лист2!$B$2:$B$505,Лист1!B266)</f>
        <v>835</v>
      </c>
      <c r="G266" s="5">
        <f>SUMIFS(Лист2!$E$2:$E$505,Лист2!$A$2:$A$505, Лист1!A266,Лист2!$B$2:$B$505,Лист1!B266)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2">
      <c r="A267" s="10">
        <v>43951</v>
      </c>
      <c r="B267" s="6" t="s">
        <v>19</v>
      </c>
      <c r="C267" s="17">
        <v>4285.5</v>
      </c>
      <c r="D267" s="17">
        <v>404691</v>
      </c>
      <c r="E267" s="5">
        <f>SUMIFS(Лист2!$C$2:$C$505,Лист2!$A$2:$A$505, Лист1!A267,Лист2!$B$2:$B$505,Лист1!B267)</f>
        <v>15</v>
      </c>
      <c r="F267" s="5">
        <f>SUMIFS(Лист2!$D$2:$D$505,Лист2!$A$2:$A$505, Лист1!A267,Лист2!$B$2:$B$505,Лист1!B267)</f>
        <v>262</v>
      </c>
      <c r="G267" s="5">
        <f>SUMIFS(Лист2!$E$2:$E$505,Лист2!$A$2:$A$505, Лист1!A267,Лист2!$B$2:$B$505,Лист1!B267)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2">
      <c r="A268" s="9">
        <v>43961</v>
      </c>
      <c r="B268" s="4" t="s">
        <v>19</v>
      </c>
      <c r="C268" s="16">
        <v>13440</v>
      </c>
      <c r="D268" s="16">
        <v>1198285.5</v>
      </c>
      <c r="E268" s="5">
        <f>SUMIFS(Лист2!$C$2:$C$505,Лист2!$A$2:$A$505, Лист1!A268,Лист2!$B$2:$B$505,Лист1!B268)</f>
        <v>15</v>
      </c>
      <c r="F268" s="5">
        <f>SUMIFS(Лист2!$D$2:$D$505,Лист2!$A$2:$A$505, Лист1!A268,Лист2!$B$2:$B$505,Лист1!B268)</f>
        <v>706</v>
      </c>
      <c r="G268" s="5">
        <f>SUMIFS(Лист2!$E$2:$E$505,Лист2!$A$2:$A$505, Лист1!A268,Лист2!$B$2:$B$505,Лист1!B268)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2">
      <c r="A269" s="10">
        <v>43959</v>
      </c>
      <c r="B269" s="6" t="s">
        <v>19</v>
      </c>
      <c r="C269" s="17">
        <v>9058.5</v>
      </c>
      <c r="D269" s="17">
        <v>798759</v>
      </c>
      <c r="E269" s="5">
        <f>SUMIFS(Лист2!$C$2:$C$505,Лист2!$A$2:$A$505, Лист1!A269,Лист2!$B$2:$B$505,Лист1!B269)</f>
        <v>15</v>
      </c>
      <c r="F269" s="5">
        <f>SUMIFS(Лист2!$D$2:$D$505,Лист2!$A$2:$A$505, Лист1!A269,Лист2!$B$2:$B$505,Лист1!B269)</f>
        <v>492</v>
      </c>
      <c r="G269" s="5">
        <f>SUMIFS(Лист2!$E$2:$E$505,Лист2!$A$2:$A$505, Лист1!A269,Лист2!$B$2:$B$505,Лист1!B269)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2">
      <c r="A270" s="9">
        <v>43958</v>
      </c>
      <c r="B270" s="4" t="s">
        <v>19</v>
      </c>
      <c r="C270" s="16">
        <v>8719.5</v>
      </c>
      <c r="D270" s="16">
        <v>769276.5</v>
      </c>
      <c r="E270" s="5">
        <f>SUMIFS(Лист2!$C$2:$C$505,Лист2!$A$2:$A$505, Лист1!A270,Лист2!$B$2:$B$505,Лист1!B270)</f>
        <v>15</v>
      </c>
      <c r="F270" s="5">
        <f>SUMIFS(Лист2!$D$2:$D$505,Лист2!$A$2:$A$505, Лист1!A270,Лист2!$B$2:$B$505,Лист1!B270)</f>
        <v>480</v>
      </c>
      <c r="G270" s="5">
        <f>SUMIFS(Лист2!$E$2:$E$505,Лист2!$A$2:$A$505, Лист1!A270,Лист2!$B$2:$B$505,Лист1!B270)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2">
      <c r="A271" s="10">
        <v>43975</v>
      </c>
      <c r="B271" s="6" t="s">
        <v>19</v>
      </c>
      <c r="C271" s="17">
        <v>12666</v>
      </c>
      <c r="D271" s="17">
        <v>1184865</v>
      </c>
      <c r="E271" s="5">
        <f>SUMIFS(Лист2!$C$2:$C$505,Лист2!$A$2:$A$505, Лист1!A271,Лист2!$B$2:$B$505,Лист1!B271)</f>
        <v>15</v>
      </c>
      <c r="F271" s="5">
        <f>SUMIFS(Лист2!$D$2:$D$505,Лист2!$A$2:$A$505, Лист1!A271,Лист2!$B$2:$B$505,Лист1!B271)</f>
        <v>779</v>
      </c>
      <c r="G271" s="5">
        <f>SUMIFS(Лист2!$E$2:$E$505,Лист2!$A$2:$A$505, Лист1!A271,Лист2!$B$2:$B$505,Лист1!B271)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2">
      <c r="A272" s="9">
        <v>43967</v>
      </c>
      <c r="B272" s="4" t="s">
        <v>20</v>
      </c>
      <c r="C272" s="16">
        <v>34563</v>
      </c>
      <c r="D272" s="16">
        <v>2922883.5</v>
      </c>
      <c r="E272" s="5">
        <f>SUMIFS(Лист2!$C$2:$C$505,Лист2!$A$2:$A$505, Лист1!A272,Лист2!$B$2:$B$505,Лист1!B272)</f>
        <v>19</v>
      </c>
      <c r="F272" s="5">
        <f>SUMIFS(Лист2!$D$2:$D$505,Лист2!$A$2:$A$505, Лист1!A272,Лист2!$B$2:$B$505,Лист1!B272)</f>
        <v>2039</v>
      </c>
      <c r="G272" s="5">
        <f>SUMIFS(Лист2!$E$2:$E$505,Лист2!$A$2:$A$505, Лист1!A272,Лист2!$B$2:$B$505,Лист1!B272)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2">
      <c r="A273" s="10">
        <v>43970</v>
      </c>
      <c r="B273" s="6" t="s">
        <v>20</v>
      </c>
      <c r="C273" s="17">
        <v>28882.5</v>
      </c>
      <c r="D273" s="17">
        <v>2446530</v>
      </c>
      <c r="E273" s="5">
        <f>SUMIFS(Лист2!$C$2:$C$505,Лист2!$A$2:$A$505, Лист1!A273,Лист2!$B$2:$B$505,Лист1!B273)</f>
        <v>19</v>
      </c>
      <c r="F273" s="5">
        <f>SUMIFS(Лист2!$D$2:$D$505,Лист2!$A$2:$A$505, Лист1!A273,Лист2!$B$2:$B$505,Лист1!B273)</f>
        <v>1831</v>
      </c>
      <c r="G273" s="5">
        <f>SUMIFS(Лист2!$E$2:$E$505,Лист2!$A$2:$A$505, Лист1!A273,Лист2!$B$2:$B$505,Лист1!B273)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2">
      <c r="A274" s="9">
        <v>43968</v>
      </c>
      <c r="B274" s="4" t="s">
        <v>20</v>
      </c>
      <c r="C274" s="16">
        <v>28275</v>
      </c>
      <c r="D274" s="16">
        <v>2435632.5</v>
      </c>
      <c r="E274" s="5">
        <f>SUMIFS(Лист2!$C$2:$C$505,Лист2!$A$2:$A$505, Лист1!A274,Лист2!$B$2:$B$505,Лист1!B274)</f>
        <v>19</v>
      </c>
      <c r="F274" s="5">
        <f>SUMIFS(Лист2!$D$2:$D$505,Лист2!$A$2:$A$505, Лист1!A274,Лист2!$B$2:$B$505,Лист1!B274)</f>
        <v>1790</v>
      </c>
      <c r="G274" s="5">
        <f>SUMIFS(Лист2!$E$2:$E$505,Лист2!$A$2:$A$505, Лист1!A274,Лист2!$B$2:$B$505,Лист1!B274)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2">
      <c r="A275" s="10">
        <v>43960</v>
      </c>
      <c r="B275" s="6" t="s">
        <v>20</v>
      </c>
      <c r="C275" s="17">
        <v>26271</v>
      </c>
      <c r="D275" s="17">
        <v>2384937</v>
      </c>
      <c r="E275" s="5">
        <f>SUMIFS(Лист2!$C$2:$C$505,Лист2!$A$2:$A$505, Лист1!A275,Лист2!$B$2:$B$505,Лист1!B275)</f>
        <v>19</v>
      </c>
      <c r="F275" s="5">
        <f>SUMIFS(Лист2!$D$2:$D$505,Лист2!$A$2:$A$505, Лист1!A275,Лист2!$B$2:$B$505,Лист1!B275)</f>
        <v>1542</v>
      </c>
      <c r="G275" s="5">
        <f>SUMIFS(Лист2!$E$2:$E$505,Лист2!$A$2:$A$505, Лист1!A275,Лист2!$B$2:$B$505,Лист1!B275)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2">
      <c r="A276" s="9">
        <v>43955</v>
      </c>
      <c r="B276" s="4" t="s">
        <v>20</v>
      </c>
      <c r="C276" s="16">
        <v>23587.5</v>
      </c>
      <c r="D276" s="16">
        <v>2155668</v>
      </c>
      <c r="E276" s="5">
        <f>SUMIFS(Лист2!$C$2:$C$505,Лист2!$A$2:$A$505, Лист1!A276,Лист2!$B$2:$B$505,Лист1!B276)</f>
        <v>19</v>
      </c>
      <c r="F276" s="5">
        <f>SUMIFS(Лист2!$D$2:$D$505,Лист2!$A$2:$A$505, Лист1!A276,Лист2!$B$2:$B$505,Лист1!B276)</f>
        <v>1479</v>
      </c>
      <c r="G276" s="5">
        <f>SUMIFS(Лист2!$E$2:$E$505,Лист2!$A$2:$A$505, Лист1!A276,Лист2!$B$2:$B$505,Лист1!B276)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2">
      <c r="A277" s="10">
        <v>43953</v>
      </c>
      <c r="B277" s="6" t="s">
        <v>20</v>
      </c>
      <c r="C277" s="17">
        <v>18427.5</v>
      </c>
      <c r="D277" s="17">
        <v>1682851.5</v>
      </c>
      <c r="E277" s="5">
        <f>SUMIFS(Лист2!$C$2:$C$505,Лист2!$A$2:$A$505, Лист1!A277,Лист2!$B$2:$B$505,Лист1!B277)</f>
        <v>19</v>
      </c>
      <c r="F277" s="5">
        <f>SUMIFS(Лист2!$D$2:$D$505,Лист2!$A$2:$A$505, Лист1!A277,Лист2!$B$2:$B$505,Лист1!B277)</f>
        <v>1206</v>
      </c>
      <c r="G277" s="5">
        <f>SUMIFS(Лист2!$E$2:$E$505,Лист2!$A$2:$A$505, Лист1!A277,Лист2!$B$2:$B$505,Лист1!B277)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2">
      <c r="A278" s="9">
        <v>43977</v>
      </c>
      <c r="B278" s="4" t="s">
        <v>20</v>
      </c>
      <c r="C278" s="16">
        <v>27156</v>
      </c>
      <c r="D278" s="16">
        <v>2410803</v>
      </c>
      <c r="E278" s="5">
        <f>SUMIFS(Лист2!$C$2:$C$505,Лист2!$A$2:$A$505, Лист1!A278,Лист2!$B$2:$B$505,Лист1!B278)</f>
        <v>20</v>
      </c>
      <c r="F278" s="5">
        <f>SUMIFS(Лист2!$D$2:$D$505,Лист2!$A$2:$A$505, Лист1!A278,Лист2!$B$2:$B$505,Лист1!B278)</f>
        <v>1814</v>
      </c>
      <c r="G278" s="5">
        <f>SUMIFS(Лист2!$E$2:$E$505,Лист2!$A$2:$A$505, Лист1!A278,Лист2!$B$2:$B$505,Лист1!B278)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2">
      <c r="A279" s="10">
        <v>43952</v>
      </c>
      <c r="B279" s="6" t="s">
        <v>20</v>
      </c>
      <c r="C279" s="17">
        <v>35190</v>
      </c>
      <c r="D279" s="17">
        <v>3168510</v>
      </c>
      <c r="E279" s="5">
        <f>SUMIFS(Лист2!$C$2:$C$505,Лист2!$A$2:$A$505, Лист1!A279,Лист2!$B$2:$B$505,Лист1!B279)</f>
        <v>19</v>
      </c>
      <c r="F279" s="5">
        <f>SUMIFS(Лист2!$D$2:$D$505,Лист2!$A$2:$A$505, Лист1!A279,Лист2!$B$2:$B$505,Лист1!B279)</f>
        <v>1987</v>
      </c>
      <c r="G279" s="5">
        <f>SUMIFS(Лист2!$E$2:$E$505,Лист2!$A$2:$A$505, Лист1!A279,Лист2!$B$2:$B$505,Лист1!B279)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2">
      <c r="A280" s="9">
        <v>43963</v>
      </c>
      <c r="B280" s="4" t="s">
        <v>20</v>
      </c>
      <c r="C280" s="16">
        <v>25483.5</v>
      </c>
      <c r="D280" s="16">
        <v>2243160</v>
      </c>
      <c r="E280" s="5">
        <f>SUMIFS(Лист2!$C$2:$C$505,Лист2!$A$2:$A$505, Лист1!A280,Лист2!$B$2:$B$505,Лист1!B280)</f>
        <v>19</v>
      </c>
      <c r="F280" s="5">
        <f>SUMIFS(Лист2!$D$2:$D$505,Лист2!$A$2:$A$505, Лист1!A280,Лист2!$B$2:$B$505,Лист1!B280)</f>
        <v>1598</v>
      </c>
      <c r="G280" s="5">
        <f>SUMIFS(Лист2!$E$2:$E$505,Лист2!$A$2:$A$505, Лист1!A280,Лист2!$B$2:$B$505,Лист1!B280)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2">
      <c r="A281" s="10">
        <v>43972</v>
      </c>
      <c r="B281" s="6" t="s">
        <v>20</v>
      </c>
      <c r="C281" s="17">
        <v>25362</v>
      </c>
      <c r="D281" s="17">
        <v>2198935.5</v>
      </c>
      <c r="E281" s="5">
        <f>SUMIFS(Лист2!$C$2:$C$505,Лист2!$A$2:$A$505, Лист1!A281,Лист2!$B$2:$B$505,Лист1!B281)</f>
        <v>19</v>
      </c>
      <c r="F281" s="5">
        <f>SUMIFS(Лист2!$D$2:$D$505,Лист2!$A$2:$A$505, Лист1!A281,Лист2!$B$2:$B$505,Лист1!B281)</f>
        <v>1650</v>
      </c>
      <c r="G281" s="5">
        <f>SUMIFS(Лист2!$E$2:$E$505,Лист2!$A$2:$A$505, Лист1!A281,Лист2!$B$2:$B$505,Лист1!B281)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2">
      <c r="A282" s="9">
        <v>43971</v>
      </c>
      <c r="B282" s="4" t="s">
        <v>20</v>
      </c>
      <c r="C282" s="16">
        <v>28849.5</v>
      </c>
      <c r="D282" s="16">
        <v>2520759</v>
      </c>
      <c r="E282" s="5">
        <f>SUMIFS(Лист2!$C$2:$C$505,Лист2!$A$2:$A$505, Лист1!A282,Лист2!$B$2:$B$505,Лист1!B282)</f>
        <v>19</v>
      </c>
      <c r="F282" s="5">
        <f>SUMIFS(Лист2!$D$2:$D$505,Лист2!$A$2:$A$505, Лист1!A282,Лист2!$B$2:$B$505,Лист1!B282)</f>
        <v>1823</v>
      </c>
      <c r="G282" s="5">
        <f>SUMIFS(Лист2!$E$2:$E$505,Лист2!$A$2:$A$505, Лист1!A282,Лист2!$B$2:$B$505,Лист1!B282)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2">
      <c r="A283" s="10">
        <v>43956</v>
      </c>
      <c r="B283" s="6" t="s">
        <v>20</v>
      </c>
      <c r="C283" s="17">
        <v>26367</v>
      </c>
      <c r="D283" s="17">
        <v>2380333.5</v>
      </c>
      <c r="E283" s="5">
        <f>SUMIFS(Лист2!$C$2:$C$505,Лист2!$A$2:$A$505, Лист1!A283,Лист2!$B$2:$B$505,Лист1!B283)</f>
        <v>19</v>
      </c>
      <c r="F283" s="5">
        <f>SUMIFS(Лист2!$D$2:$D$505,Лист2!$A$2:$A$505, Лист1!A283,Лист2!$B$2:$B$505,Лист1!B283)</f>
        <v>1622</v>
      </c>
      <c r="G283" s="5">
        <f>SUMIFS(Лист2!$E$2:$E$505,Лист2!$A$2:$A$505, Лист1!A283,Лист2!$B$2:$B$505,Лист1!B283)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2">
      <c r="A284" s="9">
        <v>43964</v>
      </c>
      <c r="B284" s="4" t="s">
        <v>20</v>
      </c>
      <c r="C284" s="16">
        <v>25539</v>
      </c>
      <c r="D284" s="16">
        <v>2263651.5</v>
      </c>
      <c r="E284" s="5">
        <f>SUMIFS(Лист2!$C$2:$C$505,Лист2!$A$2:$A$505, Лист1!A284,Лист2!$B$2:$B$505,Лист1!B284)</f>
        <v>19</v>
      </c>
      <c r="F284" s="5">
        <f>SUMIFS(Лист2!$D$2:$D$505,Лист2!$A$2:$A$505, Лист1!A284,Лист2!$B$2:$B$505,Лист1!B284)</f>
        <v>1605</v>
      </c>
      <c r="G284" s="5">
        <f>SUMIFS(Лист2!$E$2:$E$505,Лист2!$A$2:$A$505, Лист1!A284,Лист2!$B$2:$B$505,Лист1!B284)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2">
      <c r="A285" s="10">
        <v>43982</v>
      </c>
      <c r="B285" s="6" t="s">
        <v>19</v>
      </c>
      <c r="C285" s="17">
        <v>14808</v>
      </c>
      <c r="D285" s="17">
        <v>1336789.5</v>
      </c>
      <c r="E285" s="5">
        <f>SUMIFS(Лист2!$C$2:$C$505,Лист2!$A$2:$A$505, Лист1!A285,Лист2!$B$2:$B$505,Лист1!B285)</f>
        <v>16</v>
      </c>
      <c r="F285" s="5">
        <f>SUMIFS(Лист2!$D$2:$D$505,Лист2!$A$2:$A$505, Лист1!A285,Лист2!$B$2:$B$505,Лист1!B285)</f>
        <v>917</v>
      </c>
      <c r="G285" s="5">
        <f>SUMIFS(Лист2!$E$2:$E$505,Лист2!$A$2:$A$505, Лист1!A285,Лист2!$B$2:$B$505,Лист1!B285)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2">
      <c r="A286" s="9">
        <v>43954</v>
      </c>
      <c r="B286" s="4" t="s">
        <v>20</v>
      </c>
      <c r="C286" s="16">
        <v>21343.5</v>
      </c>
      <c r="D286" s="16">
        <v>1906557</v>
      </c>
      <c r="E286" s="5">
        <f>SUMIFS(Лист2!$C$2:$C$505,Лист2!$A$2:$A$505, Лист1!A286,Лист2!$B$2:$B$505,Лист1!B286)</f>
        <v>19</v>
      </c>
      <c r="F286" s="5">
        <f>SUMIFS(Лист2!$D$2:$D$505,Лист2!$A$2:$A$505, Лист1!A286,Лист2!$B$2:$B$505,Лист1!B286)</f>
        <v>1314</v>
      </c>
      <c r="G286" s="5">
        <f>SUMIFS(Лист2!$E$2:$E$505,Лист2!$A$2:$A$505, Лист1!A286,Лист2!$B$2:$B$505,Лист1!B286)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2">
      <c r="A287" s="10">
        <v>43981</v>
      </c>
      <c r="B287" s="6" t="s">
        <v>19</v>
      </c>
      <c r="C287" s="17">
        <v>17946</v>
      </c>
      <c r="D287" s="17">
        <v>1609090.5</v>
      </c>
      <c r="E287" s="5">
        <f>SUMIFS(Лист2!$C$2:$C$505,Лист2!$A$2:$A$505, Лист1!A287,Лист2!$B$2:$B$505,Лист1!B287)</f>
        <v>16</v>
      </c>
      <c r="F287" s="5">
        <f>SUMIFS(Лист2!$D$2:$D$505,Лист2!$A$2:$A$505, Лист1!A287,Лист2!$B$2:$B$505,Лист1!B287)</f>
        <v>1048</v>
      </c>
      <c r="G287" s="5">
        <f>SUMIFS(Лист2!$E$2:$E$505,Лист2!$A$2:$A$505, Лист1!A287,Лист2!$B$2:$B$505,Лист1!B287)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2">
      <c r="A288" s="9">
        <v>43957</v>
      </c>
      <c r="B288" s="4" t="s">
        <v>20</v>
      </c>
      <c r="C288" s="16">
        <v>24337.5</v>
      </c>
      <c r="D288" s="16">
        <v>2159350.5</v>
      </c>
      <c r="E288" s="5">
        <f>SUMIFS(Лист2!$C$2:$C$505,Лист2!$A$2:$A$505, Лист1!A288,Лист2!$B$2:$B$505,Лист1!B288)</f>
        <v>19</v>
      </c>
      <c r="F288" s="5">
        <f>SUMIFS(Лист2!$D$2:$D$505,Лист2!$A$2:$A$505, Лист1!A288,Лист2!$B$2:$B$505,Лист1!B288)</f>
        <v>1509</v>
      </c>
      <c r="G288" s="5">
        <f>SUMIFS(Лист2!$E$2:$E$505,Лист2!$A$2:$A$505, Лист1!A288,Лист2!$B$2:$B$505,Лист1!B288)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2">
      <c r="A289" s="10">
        <v>43974</v>
      </c>
      <c r="B289" s="6" t="s">
        <v>20</v>
      </c>
      <c r="C289" s="17">
        <v>36997.5</v>
      </c>
      <c r="D289" s="17">
        <v>3089140.5</v>
      </c>
      <c r="E289" s="5">
        <f>SUMIFS(Лист2!$C$2:$C$505,Лист2!$A$2:$A$505, Лист1!A289,Лист2!$B$2:$B$505,Лист1!B289)</f>
        <v>19</v>
      </c>
      <c r="F289" s="5">
        <f>SUMIFS(Лист2!$D$2:$D$505,Лист2!$A$2:$A$505, Лист1!A289,Лист2!$B$2:$B$505,Лист1!B289)</f>
        <v>2195</v>
      </c>
      <c r="G289" s="5">
        <f>SUMIFS(Лист2!$E$2:$E$505,Лист2!$A$2:$A$505, Лист1!A289,Лист2!$B$2:$B$505,Лист1!B289)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2">
      <c r="A290" s="9">
        <v>43979</v>
      </c>
      <c r="B290" s="4" t="s">
        <v>19</v>
      </c>
      <c r="C290" s="16">
        <v>13864.5</v>
      </c>
      <c r="D290" s="16">
        <v>1239747</v>
      </c>
      <c r="E290" s="5">
        <f>SUMIFS(Лист2!$C$2:$C$505,Лист2!$A$2:$A$505, Лист1!A290,Лист2!$B$2:$B$505,Лист1!B290)</f>
        <v>16</v>
      </c>
      <c r="F290" s="5">
        <f>SUMIFS(Лист2!$D$2:$D$505,Лист2!$A$2:$A$505, Лист1!A290,Лист2!$B$2:$B$505,Лист1!B290)</f>
        <v>876</v>
      </c>
      <c r="G290" s="5">
        <f>SUMIFS(Лист2!$E$2:$E$505,Лист2!$A$2:$A$505, Лист1!A290,Лист2!$B$2:$B$505,Лист1!B290)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2">
      <c r="A291" s="10">
        <v>43976</v>
      </c>
      <c r="B291" s="6" t="s">
        <v>20</v>
      </c>
      <c r="C291" s="17">
        <v>28494</v>
      </c>
      <c r="D291" s="17">
        <v>2512803</v>
      </c>
      <c r="E291" s="5">
        <f>SUMIFS(Лист2!$C$2:$C$505,Лист2!$A$2:$A$505, Лист1!A291,Лист2!$B$2:$B$505,Лист1!B291)</f>
        <v>20</v>
      </c>
      <c r="F291" s="5">
        <f>SUMIFS(Лист2!$D$2:$D$505,Лист2!$A$2:$A$505, Лист1!A291,Лист2!$B$2:$B$505,Лист1!B291)</f>
        <v>1899</v>
      </c>
      <c r="G291" s="5">
        <f>SUMIFS(Лист2!$E$2:$E$505,Лист2!$A$2:$A$505, Лист1!A291,Лист2!$B$2:$B$505,Лист1!B291)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2">
      <c r="A292" s="9">
        <v>43951</v>
      </c>
      <c r="B292" s="4" t="s">
        <v>20</v>
      </c>
      <c r="C292" s="16">
        <v>27883.5</v>
      </c>
      <c r="D292" s="16">
        <v>2560080</v>
      </c>
      <c r="E292" s="5">
        <f>SUMIFS(Лист2!$C$2:$C$505,Лист2!$A$2:$A$505, Лист1!A292,Лист2!$B$2:$B$505,Лист1!B292)</f>
        <v>19</v>
      </c>
      <c r="F292" s="5">
        <f>SUMIFS(Лист2!$D$2:$D$505,Лист2!$A$2:$A$505, Лист1!A292,Лист2!$B$2:$B$505,Лист1!B292)</f>
        <v>1662</v>
      </c>
      <c r="G292" s="5">
        <f>SUMIFS(Лист2!$E$2:$E$505,Лист2!$A$2:$A$505, Лист1!A292,Лист2!$B$2:$B$505,Лист1!B292)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2">
      <c r="A293" s="10">
        <v>43961</v>
      </c>
      <c r="B293" s="6" t="s">
        <v>20</v>
      </c>
      <c r="C293" s="17">
        <v>31224</v>
      </c>
      <c r="D293" s="17">
        <v>2767270.5</v>
      </c>
      <c r="E293" s="5">
        <f>SUMIFS(Лист2!$C$2:$C$505,Лист2!$A$2:$A$505, Лист1!A293,Лист2!$B$2:$B$505,Лист1!B293)</f>
        <v>19</v>
      </c>
      <c r="F293" s="5">
        <f>SUMIFS(Лист2!$D$2:$D$505,Лист2!$A$2:$A$505, Лист1!A293,Лист2!$B$2:$B$505,Лист1!B293)</f>
        <v>1836</v>
      </c>
      <c r="G293" s="5">
        <f>SUMIFS(Лист2!$E$2:$E$505,Лист2!$A$2:$A$505, Лист1!A293,Лист2!$B$2:$B$505,Лист1!B293)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2">
      <c r="A294" s="9">
        <v>43959</v>
      </c>
      <c r="B294" s="4" t="s">
        <v>20</v>
      </c>
      <c r="C294" s="16">
        <v>25020</v>
      </c>
      <c r="D294" s="16">
        <v>2235960</v>
      </c>
      <c r="E294" s="5">
        <f>SUMIFS(Лист2!$C$2:$C$505,Лист2!$A$2:$A$505, Лист1!A294,Лист2!$B$2:$B$505,Лист1!B294)</f>
        <v>19</v>
      </c>
      <c r="F294" s="5">
        <f>SUMIFS(Лист2!$D$2:$D$505,Лист2!$A$2:$A$505, Лист1!A294,Лист2!$B$2:$B$505,Лист1!B294)</f>
        <v>1520</v>
      </c>
      <c r="G294" s="5">
        <f>SUMIFS(Лист2!$E$2:$E$505,Лист2!$A$2:$A$505, Лист1!A294,Лист2!$B$2:$B$505,Лист1!B294)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2">
      <c r="A295" s="10">
        <v>43958</v>
      </c>
      <c r="B295" s="6" t="s">
        <v>20</v>
      </c>
      <c r="C295" s="17">
        <v>26184</v>
      </c>
      <c r="D295" s="17">
        <v>2308336.5</v>
      </c>
      <c r="E295" s="5">
        <f>SUMIFS(Лист2!$C$2:$C$505,Лист2!$A$2:$A$505, Лист1!A295,Лист2!$B$2:$B$505,Лист1!B295)</f>
        <v>19</v>
      </c>
      <c r="F295" s="5">
        <f>SUMIFS(Лист2!$D$2:$D$505,Лист2!$A$2:$A$505, Лист1!A295,Лист2!$B$2:$B$505,Лист1!B295)</f>
        <v>1580</v>
      </c>
      <c r="G295" s="5">
        <f>SUMIFS(Лист2!$E$2:$E$505,Лист2!$A$2:$A$505, Лист1!A295,Лист2!$B$2:$B$505,Лист1!B295)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2">
      <c r="A296" s="9">
        <v>43975</v>
      </c>
      <c r="B296" s="4" t="s">
        <v>20</v>
      </c>
      <c r="C296" s="16">
        <v>29824.5</v>
      </c>
      <c r="D296" s="16">
        <v>2526909</v>
      </c>
      <c r="E296" s="5">
        <f>SUMIFS(Лист2!$C$2:$C$505,Лист2!$A$2:$A$505, Лист1!A296,Лист2!$B$2:$B$505,Лист1!B296)</f>
        <v>19</v>
      </c>
      <c r="F296" s="5">
        <f>SUMIFS(Лист2!$D$2:$D$505,Лист2!$A$2:$A$505, Лист1!A296,Лист2!$B$2:$B$505,Лист1!B296)</f>
        <v>1868</v>
      </c>
      <c r="G296" s="5">
        <f>SUMIFS(Лист2!$E$2:$E$505,Лист2!$A$2:$A$505, Лист1!A296,Лист2!$B$2:$B$505,Лист1!B296)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2">
      <c r="A297" s="10">
        <v>43950</v>
      </c>
      <c r="B297" s="6" t="s">
        <v>21</v>
      </c>
      <c r="C297" s="17">
        <v>208351.5</v>
      </c>
      <c r="D297" s="17">
        <v>21615333</v>
      </c>
      <c r="E297" s="5">
        <f>SUMIFS(Лист2!$C$2:$C$505,Лист2!$A$2:$A$505, Лист1!A297,Лист2!$B$2:$B$505,Лист1!B297)</f>
        <v>59</v>
      </c>
      <c r="F297" s="5">
        <f>SUMIFS(Лист2!$D$2:$D$505,Лист2!$A$2:$A$505, Лист1!A297,Лист2!$B$2:$B$505,Лист1!B297)</f>
        <v>13186</v>
      </c>
      <c r="G297" s="5">
        <f>SUMIFS(Лист2!$E$2:$E$505,Лист2!$A$2:$A$505, Лист1!A297,Лист2!$B$2:$B$505,Лист1!B297)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2">
      <c r="A298" s="9">
        <v>43949</v>
      </c>
      <c r="B298" s="4" t="s">
        <v>21</v>
      </c>
      <c r="C298" s="16">
        <v>204637.5</v>
      </c>
      <c r="D298" s="16">
        <v>21114898.5</v>
      </c>
      <c r="E298" s="5">
        <f>SUMIFS(Лист2!$C$2:$C$505,Лист2!$A$2:$A$505, Лист1!A298,Лист2!$B$2:$B$505,Лист1!B298)</f>
        <v>59</v>
      </c>
      <c r="F298" s="5">
        <f>SUMIFS(Лист2!$D$2:$D$505,Лист2!$A$2:$A$505, Лист1!A298,Лист2!$B$2:$B$505,Лист1!B298)</f>
        <v>12943</v>
      </c>
      <c r="G298" s="5">
        <f>SUMIFS(Лист2!$E$2:$E$505,Лист2!$A$2:$A$505, Лист1!A298,Лист2!$B$2:$B$505,Лист1!B298)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2">
      <c r="A299" s="10">
        <v>43982</v>
      </c>
      <c r="B299" s="6" t="s">
        <v>20</v>
      </c>
      <c r="C299" s="17">
        <v>31372.5</v>
      </c>
      <c r="D299" s="17">
        <v>2794324.5</v>
      </c>
      <c r="E299" s="5">
        <f>SUMIFS(Лист2!$C$2:$C$505,Лист2!$A$2:$A$505, Лист1!A299,Лист2!$B$2:$B$505,Лист1!B299)</f>
        <v>21</v>
      </c>
      <c r="F299" s="5">
        <f>SUMIFS(Лист2!$D$2:$D$505,Лист2!$A$2:$A$505, Лист1!A299,Лист2!$B$2:$B$505,Лист1!B299)</f>
        <v>2056</v>
      </c>
      <c r="G299" s="5">
        <f>SUMIFS(Лист2!$E$2:$E$505,Лист2!$A$2:$A$505, Лист1!A299,Лист2!$B$2:$B$505,Лист1!B299)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2">
      <c r="A300" s="9">
        <v>43981</v>
      </c>
      <c r="B300" s="4" t="s">
        <v>20</v>
      </c>
      <c r="C300" s="16">
        <v>34681.5</v>
      </c>
      <c r="D300" s="16">
        <v>3005334</v>
      </c>
      <c r="E300" s="5">
        <f>SUMIFS(Лист2!$C$2:$C$505,Лист2!$A$2:$A$505, Лист1!A300,Лист2!$B$2:$B$505,Лист1!B300)</f>
        <v>20</v>
      </c>
      <c r="F300" s="5">
        <f>SUMIFS(Лист2!$D$2:$D$505,Лист2!$A$2:$A$505, Лист1!A300,Лист2!$B$2:$B$505,Лист1!B300)</f>
        <v>2174</v>
      </c>
      <c r="G300" s="5">
        <f>SUMIFS(Лист2!$E$2:$E$505,Лист2!$A$2:$A$505, Лист1!A300,Лист2!$B$2:$B$505,Лист1!B300)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2">
      <c r="A301" s="10">
        <v>43979</v>
      </c>
      <c r="B301" s="6" t="s">
        <v>20</v>
      </c>
      <c r="C301" s="17">
        <v>28197</v>
      </c>
      <c r="D301" s="17">
        <v>2559211.5</v>
      </c>
      <c r="E301" s="5">
        <f>SUMIFS(Лист2!$C$2:$C$505,Лист2!$A$2:$A$505, Лист1!A301,Лист2!$B$2:$B$505,Лист1!B301)</f>
        <v>20</v>
      </c>
      <c r="F301" s="5">
        <f>SUMIFS(Лист2!$D$2:$D$505,Лист2!$A$2:$A$505, Лист1!A301,Лист2!$B$2:$B$505,Лист1!B301)</f>
        <v>1875</v>
      </c>
      <c r="G301" s="5">
        <f>SUMIFS(Лист2!$E$2:$E$505,Лист2!$A$2:$A$505, Лист1!A301,Лист2!$B$2:$B$505,Лист1!B301)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2">
      <c r="A302" s="9">
        <v>43967</v>
      </c>
      <c r="B302" s="4" t="s">
        <v>21</v>
      </c>
      <c r="C302" s="16">
        <v>236551.5</v>
      </c>
      <c r="D302" s="16">
        <v>23689383</v>
      </c>
      <c r="E302" s="5">
        <f>SUMIFS(Лист2!$C$2:$C$505,Лист2!$A$2:$A$505, Лист1!A302,Лист2!$B$2:$B$505,Лист1!B302)</f>
        <v>60</v>
      </c>
      <c r="F302" s="5">
        <f>SUMIFS(Лист2!$D$2:$D$505,Лист2!$A$2:$A$505, Лист1!A302,Лист2!$B$2:$B$505,Лист1!B302)</f>
        <v>14049</v>
      </c>
      <c r="G302" s="5">
        <f>SUMIFS(Лист2!$E$2:$E$505,Лист2!$A$2:$A$505, Лист1!A302,Лист2!$B$2:$B$505,Лист1!B302)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2">
      <c r="A303" s="10">
        <v>43970</v>
      </c>
      <c r="B303" s="6" t="s">
        <v>21</v>
      </c>
      <c r="C303" s="17">
        <v>223597.5</v>
      </c>
      <c r="D303" s="17">
        <v>21945858</v>
      </c>
      <c r="E303" s="5">
        <f>SUMIFS(Лист2!$C$2:$C$505,Лист2!$A$2:$A$505, Лист1!A303,Лист2!$B$2:$B$505,Лист1!B303)</f>
        <v>60</v>
      </c>
      <c r="F303" s="5">
        <f>SUMIFS(Лист2!$D$2:$D$505,Лист2!$A$2:$A$505, Лист1!A303,Лист2!$B$2:$B$505,Лист1!B303)</f>
        <v>13867</v>
      </c>
      <c r="G303" s="5">
        <f>SUMIFS(Лист2!$E$2:$E$505,Лист2!$A$2:$A$505, Лист1!A303,Лист2!$B$2:$B$505,Лист1!B303)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2">
      <c r="A304" s="9">
        <v>43968</v>
      </c>
      <c r="B304" s="4" t="s">
        <v>21</v>
      </c>
      <c r="C304" s="16">
        <v>193363.5</v>
      </c>
      <c r="D304" s="16">
        <v>19546386</v>
      </c>
      <c r="E304" s="5">
        <f>SUMIFS(Лист2!$C$2:$C$505,Лист2!$A$2:$A$505, Лист1!A304,Лист2!$B$2:$B$505,Лист1!B304)</f>
        <v>60</v>
      </c>
      <c r="F304" s="5">
        <f>SUMIFS(Лист2!$D$2:$D$505,Лист2!$A$2:$A$505, Лист1!A304,Лист2!$B$2:$B$505,Лист1!B304)</f>
        <v>11698</v>
      </c>
      <c r="G304" s="5">
        <f>SUMIFS(Лист2!$E$2:$E$505,Лист2!$A$2:$A$505, Лист1!A304,Лист2!$B$2:$B$505,Лист1!B304)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2">
      <c r="A305" s="10">
        <v>43960</v>
      </c>
      <c r="B305" s="6" t="s">
        <v>21</v>
      </c>
      <c r="C305" s="17">
        <v>188319</v>
      </c>
      <c r="D305" s="17">
        <v>19218631.5</v>
      </c>
      <c r="E305" s="5">
        <f>SUMIFS(Лист2!$C$2:$C$505,Лист2!$A$2:$A$505, Лист1!A305,Лист2!$B$2:$B$505,Лист1!B305)</f>
        <v>59</v>
      </c>
      <c r="F305" s="5">
        <f>SUMIFS(Лист2!$D$2:$D$505,Лист2!$A$2:$A$505, Лист1!A305,Лист2!$B$2:$B$505,Лист1!B305)</f>
        <v>12016</v>
      </c>
      <c r="G305" s="5">
        <f>SUMIFS(Лист2!$E$2:$E$505,Лист2!$A$2:$A$505, Лист1!A305,Лист2!$B$2:$B$505,Лист1!B305)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2">
      <c r="A306" s="9">
        <v>43955</v>
      </c>
      <c r="B306" s="4" t="s">
        <v>21</v>
      </c>
      <c r="C306" s="16">
        <v>237544.5</v>
      </c>
      <c r="D306" s="16">
        <v>24292218</v>
      </c>
      <c r="E306" s="5">
        <f>SUMIFS(Лист2!$C$2:$C$505,Лист2!$A$2:$A$505, Лист1!A306,Лист2!$B$2:$B$505,Лист1!B306)</f>
        <v>59</v>
      </c>
      <c r="F306" s="5">
        <f>SUMIFS(Лист2!$D$2:$D$505,Лист2!$A$2:$A$505, Лист1!A306,Лист2!$B$2:$B$505,Лист1!B306)</f>
        <v>14423</v>
      </c>
      <c r="G306" s="5">
        <f>SUMIFS(Лист2!$E$2:$E$505,Лист2!$A$2:$A$505, Лист1!A306,Лист2!$B$2:$B$505,Лист1!B306)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2">
      <c r="A307" s="10">
        <v>43950</v>
      </c>
      <c r="B307" s="6" t="s">
        <v>22</v>
      </c>
      <c r="C307" s="17">
        <v>203209.5</v>
      </c>
      <c r="D307" s="17">
        <v>20871391.5</v>
      </c>
      <c r="E307" s="5">
        <f>SUMIFS(Лист2!$C$2:$C$505,Лист2!$A$2:$A$505, Лист1!A307,Лист2!$B$2:$B$505,Лист1!B307)</f>
        <v>54</v>
      </c>
      <c r="F307" s="5">
        <f>SUMIFS(Лист2!$D$2:$D$505,Лист2!$A$2:$A$505, Лист1!A307,Лист2!$B$2:$B$505,Лист1!B307)</f>
        <v>12747</v>
      </c>
      <c r="G307" s="5">
        <f>SUMIFS(Лист2!$E$2:$E$505,Лист2!$A$2:$A$505, Лист1!A307,Лист2!$B$2:$B$505,Лист1!B307)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2">
      <c r="A308" s="9">
        <v>43953</v>
      </c>
      <c r="B308" s="4" t="s">
        <v>21</v>
      </c>
      <c r="C308" s="16">
        <v>185979</v>
      </c>
      <c r="D308" s="16">
        <v>19625364</v>
      </c>
      <c r="E308" s="5">
        <f>SUMIFS(Лист2!$C$2:$C$505,Лист2!$A$2:$A$505, Лист1!A308,Лист2!$B$2:$B$505,Лист1!B308)</f>
        <v>59</v>
      </c>
      <c r="F308" s="5">
        <f>SUMIFS(Лист2!$D$2:$D$505,Лист2!$A$2:$A$505, Лист1!A308,Лист2!$B$2:$B$505,Лист1!B308)</f>
        <v>12429</v>
      </c>
      <c r="G308" s="5">
        <f>SUMIFS(Лист2!$E$2:$E$505,Лист2!$A$2:$A$505, Лист1!A308,Лист2!$B$2:$B$505,Лист1!B308)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2">
      <c r="A309" s="10">
        <v>43977</v>
      </c>
      <c r="B309" s="6" t="s">
        <v>21</v>
      </c>
      <c r="C309" s="17">
        <v>244905</v>
      </c>
      <c r="D309" s="17">
        <v>25163431.5</v>
      </c>
      <c r="E309" s="5">
        <f>SUMIFS(Лист2!$C$2:$C$505,Лист2!$A$2:$A$505, Лист1!A309,Лист2!$B$2:$B$505,Лист1!B309)</f>
        <v>59</v>
      </c>
      <c r="F309" s="5">
        <f>SUMIFS(Лист2!$D$2:$D$505,Лист2!$A$2:$A$505, Лист1!A309,Лист2!$B$2:$B$505,Лист1!B309)</f>
        <v>15369</v>
      </c>
      <c r="G309" s="5">
        <f>SUMIFS(Лист2!$E$2:$E$505,Лист2!$A$2:$A$505, Лист1!A309,Лист2!$B$2:$B$505,Лист1!B309)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2">
      <c r="A310" s="9">
        <v>43952</v>
      </c>
      <c r="B310" s="4" t="s">
        <v>21</v>
      </c>
      <c r="C310" s="16">
        <v>239409</v>
      </c>
      <c r="D310" s="16">
        <v>25413351</v>
      </c>
      <c r="E310" s="5">
        <f>SUMIFS(Лист2!$C$2:$C$505,Лист2!$A$2:$A$505, Лист1!A310,Лист2!$B$2:$B$505,Лист1!B310)</f>
        <v>59</v>
      </c>
      <c r="F310" s="5">
        <f>SUMIFS(Лист2!$D$2:$D$505,Лист2!$A$2:$A$505, Лист1!A310,Лист2!$B$2:$B$505,Лист1!B310)</f>
        <v>15222</v>
      </c>
      <c r="G310" s="5">
        <f>SUMIFS(Лист2!$E$2:$E$505,Лист2!$A$2:$A$505, Лист1!A310,Лист2!$B$2:$B$505,Лист1!B310)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2">
      <c r="A311" s="10">
        <v>43963</v>
      </c>
      <c r="B311" s="6" t="s">
        <v>21</v>
      </c>
      <c r="C311" s="17">
        <v>192886.5</v>
      </c>
      <c r="D311" s="17">
        <v>19205179.5</v>
      </c>
      <c r="E311" s="5">
        <f>SUMIFS(Лист2!$C$2:$C$505,Лист2!$A$2:$A$505, Лист1!A311,Лист2!$B$2:$B$505,Лист1!B311)</f>
        <v>60</v>
      </c>
      <c r="F311" s="5">
        <f>SUMIFS(Лист2!$D$2:$D$505,Лист2!$A$2:$A$505, Лист1!A311,Лист2!$B$2:$B$505,Лист1!B311)</f>
        <v>12000</v>
      </c>
      <c r="G311" s="5">
        <f>SUMIFS(Лист2!$E$2:$E$505,Лист2!$A$2:$A$505, Лист1!A311,Лист2!$B$2:$B$505,Лист1!B311)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2">
      <c r="A312" s="9">
        <v>43972</v>
      </c>
      <c r="B312" s="4" t="s">
        <v>21</v>
      </c>
      <c r="C312" s="16">
        <v>224233.5</v>
      </c>
      <c r="D312" s="16">
        <v>22253295</v>
      </c>
      <c r="E312" s="5">
        <f>SUMIFS(Лист2!$C$2:$C$505,Лист2!$A$2:$A$505, Лист1!A312,Лист2!$B$2:$B$505,Лист1!B312)</f>
        <v>60</v>
      </c>
      <c r="F312" s="5">
        <f>SUMIFS(Лист2!$D$2:$D$505,Лист2!$A$2:$A$505, Лист1!A312,Лист2!$B$2:$B$505,Лист1!B312)</f>
        <v>14005</v>
      </c>
      <c r="G312" s="5">
        <f>SUMIFS(Лист2!$E$2:$E$505,Лист2!$A$2:$A$505, Лист1!A312,Лист2!$B$2:$B$505,Лист1!B312)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2">
      <c r="A313" s="10">
        <v>43971</v>
      </c>
      <c r="B313" s="6" t="s">
        <v>21</v>
      </c>
      <c r="C313" s="17">
        <v>219622.5</v>
      </c>
      <c r="D313" s="17">
        <v>21959286</v>
      </c>
      <c r="E313" s="5">
        <f>SUMIFS(Лист2!$C$2:$C$505,Лист2!$A$2:$A$505, Лист1!A313,Лист2!$B$2:$B$505,Лист1!B313)</f>
        <v>60</v>
      </c>
      <c r="F313" s="5">
        <f>SUMIFS(Лист2!$D$2:$D$505,Лист2!$A$2:$A$505, Лист1!A313,Лист2!$B$2:$B$505,Лист1!B313)</f>
        <v>13792</v>
      </c>
      <c r="G313" s="5">
        <f>SUMIFS(Лист2!$E$2:$E$505,Лист2!$A$2:$A$505, Лист1!A313,Лист2!$B$2:$B$505,Лист1!B313)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2">
      <c r="A314" s="9">
        <v>43956</v>
      </c>
      <c r="B314" s="4" t="s">
        <v>21</v>
      </c>
      <c r="C314" s="16">
        <v>213582</v>
      </c>
      <c r="D314" s="16">
        <v>21919435.5</v>
      </c>
      <c r="E314" s="5">
        <f>SUMIFS(Лист2!$C$2:$C$505,Лист2!$A$2:$A$505, Лист1!A314,Лист2!$B$2:$B$505,Лист1!B314)</f>
        <v>59</v>
      </c>
      <c r="F314" s="5">
        <f>SUMIFS(Лист2!$D$2:$D$505,Лист2!$A$2:$A$505, Лист1!A314,Лист2!$B$2:$B$505,Лист1!B314)</f>
        <v>13469</v>
      </c>
      <c r="G314" s="5">
        <f>SUMIFS(Лист2!$E$2:$E$505,Лист2!$A$2:$A$505, Лист1!A314,Лист2!$B$2:$B$505,Лист1!B314)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2">
      <c r="A315" s="10">
        <v>43949</v>
      </c>
      <c r="B315" s="6" t="s">
        <v>22</v>
      </c>
      <c r="C315" s="17">
        <v>195705</v>
      </c>
      <c r="D315" s="17">
        <v>20003263.5</v>
      </c>
      <c r="E315" s="5">
        <f>SUMIFS(Лист2!$C$2:$C$505,Лист2!$A$2:$A$505, Лист1!A315,Лист2!$B$2:$B$505,Лист1!B315)</f>
        <v>54</v>
      </c>
      <c r="F315" s="5">
        <f>SUMIFS(Лист2!$D$2:$D$505,Лист2!$A$2:$A$505, Лист1!A315,Лист2!$B$2:$B$505,Лист1!B315)</f>
        <v>12306</v>
      </c>
      <c r="G315" s="5">
        <f>SUMIFS(Лист2!$E$2:$E$505,Лист2!$A$2:$A$505, Лист1!A315,Лист2!$B$2:$B$505,Лист1!B315)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2">
      <c r="A316" s="9">
        <v>43964</v>
      </c>
      <c r="B316" s="4" t="s">
        <v>21</v>
      </c>
      <c r="C316" s="16">
        <v>193722</v>
      </c>
      <c r="D316" s="16">
        <v>19437273</v>
      </c>
      <c r="E316" s="5">
        <f>SUMIFS(Лист2!$C$2:$C$505,Лист2!$A$2:$A$505, Лист1!A316,Лист2!$B$2:$B$505,Лист1!B316)</f>
        <v>60</v>
      </c>
      <c r="F316" s="5">
        <f>SUMIFS(Лист2!$D$2:$D$505,Лист2!$A$2:$A$505, Лист1!A316,Лист2!$B$2:$B$505,Лист1!B316)</f>
        <v>12007</v>
      </c>
      <c r="G316" s="5">
        <f>SUMIFS(Лист2!$E$2:$E$505,Лист2!$A$2:$A$505, Лист1!A316,Лист2!$B$2:$B$505,Лист1!B316)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2">
      <c r="A317" s="10">
        <v>43954</v>
      </c>
      <c r="B317" s="6" t="s">
        <v>21</v>
      </c>
      <c r="C317" s="17">
        <v>257215.5</v>
      </c>
      <c r="D317" s="17">
        <v>26492278.5</v>
      </c>
      <c r="E317" s="5">
        <f>SUMIFS(Лист2!$C$2:$C$505,Лист2!$A$2:$A$505, Лист1!A317,Лист2!$B$2:$B$505,Лист1!B317)</f>
        <v>59</v>
      </c>
      <c r="F317" s="5">
        <f>SUMIFS(Лист2!$D$2:$D$505,Лист2!$A$2:$A$505, Лист1!A317,Лист2!$B$2:$B$505,Лист1!B317)</f>
        <v>15277</v>
      </c>
      <c r="G317" s="5">
        <f>SUMIFS(Лист2!$E$2:$E$505,Лист2!$A$2:$A$505, Лист1!A317,Лист2!$B$2:$B$505,Лист1!B317)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2">
      <c r="A318" s="9">
        <v>43957</v>
      </c>
      <c r="B318" s="4" t="s">
        <v>21</v>
      </c>
      <c r="C318" s="16">
        <v>224779.5</v>
      </c>
      <c r="D318" s="16">
        <v>23032992</v>
      </c>
      <c r="E318" s="5">
        <f>SUMIFS(Лист2!$C$2:$C$505,Лист2!$A$2:$A$505, Лист1!A318,Лист2!$B$2:$B$505,Лист1!B318)</f>
        <v>59</v>
      </c>
      <c r="F318" s="5">
        <f>SUMIFS(Лист2!$D$2:$D$505,Лист2!$A$2:$A$505, Лист1!A318,Лист2!$B$2:$B$505,Лист1!B318)</f>
        <v>14103</v>
      </c>
      <c r="G318" s="5">
        <f>SUMIFS(Лист2!$E$2:$E$505,Лист2!$A$2:$A$505, Лист1!A318,Лист2!$B$2:$B$505,Лист1!B318)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2">
      <c r="A319" s="10">
        <v>43974</v>
      </c>
      <c r="B319" s="6" t="s">
        <v>21</v>
      </c>
      <c r="C319" s="17">
        <v>292018.5</v>
      </c>
      <c r="D319" s="17">
        <v>28590910.5</v>
      </c>
      <c r="E319" s="5">
        <f>SUMIFS(Лист2!$C$2:$C$505,Лист2!$A$2:$A$505, Лист1!A319,Лист2!$B$2:$B$505,Лист1!B319)</f>
        <v>60</v>
      </c>
      <c r="F319" s="5">
        <f>SUMIFS(Лист2!$D$2:$D$505,Лист2!$A$2:$A$505, Лист1!A319,Лист2!$B$2:$B$505,Лист1!B319)</f>
        <v>17295</v>
      </c>
      <c r="G319" s="5">
        <f>SUMIFS(Лист2!$E$2:$E$505,Лист2!$A$2:$A$505, Лист1!A319,Лист2!$B$2:$B$505,Лист1!B319)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2">
      <c r="A320" s="9">
        <v>43976</v>
      </c>
      <c r="B320" s="4" t="s">
        <v>21</v>
      </c>
      <c r="C320" s="16">
        <v>198751.5</v>
      </c>
      <c r="D320" s="16">
        <v>20582743.5</v>
      </c>
      <c r="E320" s="5">
        <f>SUMIFS(Лист2!$C$2:$C$505,Лист2!$A$2:$A$505, Лист1!A320,Лист2!$B$2:$B$505,Лист1!B320)</f>
        <v>59</v>
      </c>
      <c r="F320" s="5">
        <f>SUMIFS(Лист2!$D$2:$D$505,Лист2!$A$2:$A$505, Лист1!A320,Лист2!$B$2:$B$505,Лист1!B320)</f>
        <v>12983</v>
      </c>
      <c r="G320" s="5">
        <f>SUMIFS(Лист2!$E$2:$E$505,Лист2!$A$2:$A$505, Лист1!A320,Лист2!$B$2:$B$505,Лист1!B320)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2">
      <c r="A321" s="10">
        <v>43951</v>
      </c>
      <c r="B321" s="6" t="s">
        <v>21</v>
      </c>
      <c r="C321" s="17">
        <v>214386</v>
      </c>
      <c r="D321" s="17">
        <v>22530000</v>
      </c>
      <c r="E321" s="5">
        <f>SUMIFS(Лист2!$C$2:$C$505,Лист2!$A$2:$A$505, Лист1!A321,Лист2!$B$2:$B$505,Лист1!B321)</f>
        <v>59</v>
      </c>
      <c r="F321" s="5">
        <f>SUMIFS(Лист2!$D$2:$D$505,Лист2!$A$2:$A$505, Лист1!A321,Лист2!$B$2:$B$505,Лист1!B321)</f>
        <v>13251</v>
      </c>
      <c r="G321" s="5">
        <f>SUMIFS(Лист2!$E$2:$E$505,Лист2!$A$2:$A$505, Лист1!A321,Лист2!$B$2:$B$505,Лист1!B321)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2">
      <c r="A322" s="9">
        <v>43961</v>
      </c>
      <c r="B322" s="4" t="s">
        <v>21</v>
      </c>
      <c r="C322" s="16">
        <v>243825</v>
      </c>
      <c r="D322" s="16">
        <v>24890404.5</v>
      </c>
      <c r="E322" s="5">
        <f>SUMIFS(Лист2!$C$2:$C$505,Лист2!$A$2:$A$505, Лист1!A322,Лист2!$B$2:$B$505,Лист1!B322)</f>
        <v>59</v>
      </c>
      <c r="F322" s="5">
        <f>SUMIFS(Лист2!$D$2:$D$505,Лист2!$A$2:$A$505, Лист1!A322,Лист2!$B$2:$B$505,Лист1!B322)</f>
        <v>14569</v>
      </c>
      <c r="G322" s="5">
        <f>SUMIFS(Лист2!$E$2:$E$505,Лист2!$A$2:$A$505, Лист1!A322,Лист2!$B$2:$B$505,Лист1!B322)</f>
        <v>13566</v>
      </c>
      <c r="H322">
        <f t="shared" ref="H322:H385" si="10">D322 / E322</f>
        <v>421871.26271186443</v>
      </c>
      <c r="I322">
        <f t="shared" si="9"/>
        <v>19</v>
      </c>
    </row>
    <row r="323" spans="1:9" ht="14.25" customHeight="1" x14ac:dyDescent="0.2">
      <c r="A323" s="10">
        <v>43959</v>
      </c>
      <c r="B323" s="6" t="s">
        <v>21</v>
      </c>
      <c r="C323" s="17">
        <v>232701</v>
      </c>
      <c r="D323" s="17">
        <v>23881948.5</v>
      </c>
      <c r="E323" s="5">
        <f>SUMIFS(Лист2!$C$2:$C$505,Лист2!$A$2:$A$505, Лист1!A323,Лист2!$B$2:$B$505,Лист1!B323)</f>
        <v>59</v>
      </c>
      <c r="F323" s="5">
        <f>SUMIFS(Лист2!$D$2:$D$505,Лист2!$A$2:$A$505, Лист1!A323,Лист2!$B$2:$B$505,Лист1!B323)</f>
        <v>14098</v>
      </c>
      <c r="G323" s="5">
        <f>SUMIFS(Лист2!$E$2:$E$505,Лист2!$A$2:$A$505, Лист1!A323,Лист2!$B$2:$B$505,Лист1!B323)</f>
        <v>13106</v>
      </c>
      <c r="H323">
        <f t="shared" si="10"/>
        <v>404778.78813559323</v>
      </c>
      <c r="I323">
        <f t="shared" ref="I323:I386" si="11">WEEKNUM(A323,2)</f>
        <v>19</v>
      </c>
    </row>
    <row r="324" spans="1:9" ht="14.25" customHeight="1" x14ac:dyDescent="0.2">
      <c r="A324" s="9">
        <v>43958</v>
      </c>
      <c r="B324" s="4" t="s">
        <v>21</v>
      </c>
      <c r="C324" s="16">
        <v>219411</v>
      </c>
      <c r="D324" s="16">
        <v>22460130</v>
      </c>
      <c r="E324" s="5">
        <f>SUMIFS(Лист2!$C$2:$C$505,Лист2!$A$2:$A$505, Лист1!A324,Лист2!$B$2:$B$505,Лист1!B324)</f>
        <v>59</v>
      </c>
      <c r="F324" s="5">
        <f>SUMIFS(Лист2!$D$2:$D$505,Лист2!$A$2:$A$505, Лист1!A324,Лист2!$B$2:$B$505,Лист1!B324)</f>
        <v>13495</v>
      </c>
      <c r="G324" s="5">
        <f>SUMIFS(Лист2!$E$2:$E$505,Лист2!$A$2:$A$505, Лист1!A324,Лист2!$B$2:$B$505,Лист1!B324)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2">
      <c r="A325" s="10">
        <v>43975</v>
      </c>
      <c r="B325" s="6" t="s">
        <v>21</v>
      </c>
      <c r="C325" s="17">
        <v>200029.5</v>
      </c>
      <c r="D325" s="17">
        <v>19959801</v>
      </c>
      <c r="E325" s="5">
        <f>SUMIFS(Лист2!$C$2:$C$505,Лист2!$A$2:$A$505, Лист1!A325,Лист2!$B$2:$B$505,Лист1!B325)</f>
        <v>60</v>
      </c>
      <c r="F325" s="5">
        <f>SUMIFS(Лист2!$D$2:$D$505,Лист2!$A$2:$A$505, Лист1!A325,Лист2!$B$2:$B$505,Лист1!B325)</f>
        <v>12822</v>
      </c>
      <c r="G325" s="5">
        <f>SUMIFS(Лист2!$E$2:$E$505,Лист2!$A$2:$A$505, Лист1!A325,Лист2!$B$2:$B$505,Лист1!B325)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2">
      <c r="A326" s="9">
        <v>43967</v>
      </c>
      <c r="B326" s="4" t="s">
        <v>22</v>
      </c>
      <c r="C326" s="16">
        <v>225480</v>
      </c>
      <c r="D326" s="16">
        <v>22355338.5</v>
      </c>
      <c r="E326" s="5">
        <f>SUMIFS(Лист2!$C$2:$C$505,Лист2!$A$2:$A$505, Лист1!A326,Лист2!$B$2:$B$505,Лист1!B326)</f>
        <v>54</v>
      </c>
      <c r="F326" s="5">
        <f>SUMIFS(Лист2!$D$2:$D$505,Лист2!$A$2:$A$505, Лист1!A326,Лист2!$B$2:$B$505,Лист1!B326)</f>
        <v>13170</v>
      </c>
      <c r="G326" s="5">
        <f>SUMIFS(Лист2!$E$2:$E$505,Лист2!$A$2:$A$505, Лист1!A326,Лист2!$B$2:$B$505,Лист1!B326)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2">
      <c r="A327" s="10">
        <v>43970</v>
      </c>
      <c r="B327" s="6" t="s">
        <v>22</v>
      </c>
      <c r="C327" s="17">
        <v>211453.5</v>
      </c>
      <c r="D327" s="17">
        <v>20590072.5</v>
      </c>
      <c r="E327" s="5">
        <f>SUMIFS(Лист2!$C$2:$C$505,Лист2!$A$2:$A$505, Лист1!A327,Лист2!$B$2:$B$505,Лист1!B327)</f>
        <v>54</v>
      </c>
      <c r="F327" s="5">
        <f>SUMIFS(Лист2!$D$2:$D$505,Лист2!$A$2:$A$505, Лист1!A327,Лист2!$B$2:$B$505,Лист1!B327)</f>
        <v>13070</v>
      </c>
      <c r="G327" s="5">
        <f>SUMIFS(Лист2!$E$2:$E$505,Лист2!$A$2:$A$505, Лист1!A327,Лист2!$B$2:$B$505,Лист1!B327)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2">
      <c r="A328" s="9">
        <v>43968</v>
      </c>
      <c r="B328" s="4" t="s">
        <v>22</v>
      </c>
      <c r="C328" s="16">
        <v>184801.5</v>
      </c>
      <c r="D328" s="16">
        <v>18449091</v>
      </c>
      <c r="E328" s="5">
        <f>SUMIFS(Лист2!$C$2:$C$505,Лист2!$A$2:$A$505, Лист1!A328,Лист2!$B$2:$B$505,Лист1!B328)</f>
        <v>54</v>
      </c>
      <c r="F328" s="5">
        <f>SUMIFS(Лист2!$D$2:$D$505,Лист2!$A$2:$A$505, Лист1!A328,Лист2!$B$2:$B$505,Лист1!B328)</f>
        <v>11128</v>
      </c>
      <c r="G328" s="5">
        <f>SUMIFS(Лист2!$E$2:$E$505,Лист2!$A$2:$A$505, Лист1!A328,Лист2!$B$2:$B$505,Лист1!B328)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2">
      <c r="A329" s="10">
        <v>43960</v>
      </c>
      <c r="B329" s="6" t="s">
        <v>22</v>
      </c>
      <c r="C329" s="17">
        <v>177976.5</v>
      </c>
      <c r="D329" s="17">
        <v>18085798.5</v>
      </c>
      <c r="E329" s="5">
        <f>SUMIFS(Лист2!$C$2:$C$505,Лист2!$A$2:$A$505, Лист1!A329,Лист2!$B$2:$B$505,Лист1!B329)</f>
        <v>54</v>
      </c>
      <c r="F329" s="5">
        <f>SUMIFS(Лист2!$D$2:$D$505,Лист2!$A$2:$A$505, Лист1!A329,Лист2!$B$2:$B$505,Лист1!B329)</f>
        <v>11288</v>
      </c>
      <c r="G329" s="5">
        <f>SUMIFS(Лист2!$E$2:$E$505,Лист2!$A$2:$A$505, Лист1!A329,Лист2!$B$2:$B$505,Лист1!B329)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2">
      <c r="A330" s="9">
        <v>43955</v>
      </c>
      <c r="B330" s="4" t="s">
        <v>22</v>
      </c>
      <c r="C330" s="16">
        <v>223617</v>
      </c>
      <c r="D330" s="16">
        <v>22796827.5</v>
      </c>
      <c r="E330" s="5">
        <f>SUMIFS(Лист2!$C$2:$C$505,Лист2!$A$2:$A$505, Лист1!A330,Лист2!$B$2:$B$505,Лист1!B330)</f>
        <v>54</v>
      </c>
      <c r="F330" s="5">
        <f>SUMIFS(Лист2!$D$2:$D$505,Лист2!$A$2:$A$505, Лист1!A330,Лист2!$B$2:$B$505,Лист1!B330)</f>
        <v>13606</v>
      </c>
      <c r="G330" s="5">
        <f>SUMIFS(Лист2!$E$2:$E$505,Лист2!$A$2:$A$505, Лист1!A330,Лист2!$B$2:$B$505,Лист1!B330)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2">
      <c r="A331" s="10">
        <v>43953</v>
      </c>
      <c r="B331" s="6" t="s">
        <v>22</v>
      </c>
      <c r="C331" s="17">
        <v>176397</v>
      </c>
      <c r="D331" s="17">
        <v>18625921.5</v>
      </c>
      <c r="E331" s="5">
        <f>SUMIFS(Лист2!$C$2:$C$505,Лист2!$A$2:$A$505, Лист1!A331,Лист2!$B$2:$B$505,Лист1!B331)</f>
        <v>54</v>
      </c>
      <c r="F331" s="5">
        <f>SUMIFS(Лист2!$D$2:$D$505,Лист2!$A$2:$A$505, Лист1!A331,Лист2!$B$2:$B$505,Лист1!B331)</f>
        <v>11622</v>
      </c>
      <c r="G331" s="5">
        <f>SUMIFS(Лист2!$E$2:$E$505,Лист2!$A$2:$A$505, Лист1!A331,Лист2!$B$2:$B$505,Лист1!B331)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2">
      <c r="A332" s="9">
        <v>43977</v>
      </c>
      <c r="B332" s="4" t="s">
        <v>22</v>
      </c>
      <c r="C332" s="16">
        <v>232369.5</v>
      </c>
      <c r="D332" s="16">
        <v>23856345</v>
      </c>
      <c r="E332" s="5">
        <f>SUMIFS(Лист2!$C$2:$C$505,Лист2!$A$2:$A$505, Лист1!A332,Лист2!$B$2:$B$505,Лист1!B332)</f>
        <v>54</v>
      </c>
      <c r="F332" s="5">
        <f>SUMIFS(Лист2!$D$2:$D$505,Лист2!$A$2:$A$505, Лист1!A332,Лист2!$B$2:$B$505,Лист1!B332)</f>
        <v>14482</v>
      </c>
      <c r="G332" s="5">
        <f>SUMIFS(Лист2!$E$2:$E$505,Лист2!$A$2:$A$505, Лист1!A332,Лист2!$B$2:$B$505,Лист1!B332)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2">
      <c r="A333" s="10">
        <v>43952</v>
      </c>
      <c r="B333" s="6" t="s">
        <v>22</v>
      </c>
      <c r="C333" s="17">
        <v>226540.5</v>
      </c>
      <c r="D333" s="17">
        <v>23953536</v>
      </c>
      <c r="E333" s="5">
        <f>SUMIFS(Лист2!$C$2:$C$505,Лист2!$A$2:$A$505, Лист1!A333,Лист2!$B$2:$B$505,Лист1!B333)</f>
        <v>54</v>
      </c>
      <c r="F333" s="5">
        <f>SUMIFS(Лист2!$D$2:$D$505,Лист2!$A$2:$A$505, Лист1!A333,Лист2!$B$2:$B$505,Лист1!B333)</f>
        <v>14205</v>
      </c>
      <c r="G333" s="5">
        <f>SUMIFS(Лист2!$E$2:$E$505,Лист2!$A$2:$A$505, Лист1!A333,Лист2!$B$2:$B$505,Лист1!B333)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2">
      <c r="A334" s="9">
        <v>43963</v>
      </c>
      <c r="B334" s="4" t="s">
        <v>22</v>
      </c>
      <c r="C334" s="16">
        <v>189679.5</v>
      </c>
      <c r="D334" s="16">
        <v>18718036.5</v>
      </c>
      <c r="E334" s="5">
        <f>SUMIFS(Лист2!$C$2:$C$505,Лист2!$A$2:$A$505, Лист1!A334,Лист2!$B$2:$B$505,Лист1!B334)</f>
        <v>54</v>
      </c>
      <c r="F334" s="5">
        <f>SUMIFS(Лист2!$D$2:$D$505,Лист2!$A$2:$A$505, Лист1!A334,Лист2!$B$2:$B$505,Лист1!B334)</f>
        <v>11614</v>
      </c>
      <c r="G334" s="5">
        <f>SUMIFS(Лист2!$E$2:$E$505,Лист2!$A$2:$A$505, Лист1!A334,Лист2!$B$2:$B$505,Лист1!B334)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2">
      <c r="A335" s="10">
        <v>43972</v>
      </c>
      <c r="B335" s="6" t="s">
        <v>22</v>
      </c>
      <c r="C335" s="17">
        <v>213640.5</v>
      </c>
      <c r="D335" s="17">
        <v>21042673.5</v>
      </c>
      <c r="E335" s="5">
        <f>SUMIFS(Лист2!$C$2:$C$505,Лист2!$A$2:$A$505, Лист1!A335,Лист2!$B$2:$B$505,Лист1!B335)</f>
        <v>54</v>
      </c>
      <c r="F335" s="5">
        <f>SUMIFS(Лист2!$D$2:$D$505,Лист2!$A$2:$A$505, Лист1!A335,Лист2!$B$2:$B$505,Лист1!B335)</f>
        <v>13240</v>
      </c>
      <c r="G335" s="5">
        <f>SUMIFS(Лист2!$E$2:$E$505,Лист2!$A$2:$A$505, Лист1!A335,Лист2!$B$2:$B$505,Лист1!B335)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2">
      <c r="A336" s="9">
        <v>43971</v>
      </c>
      <c r="B336" s="4" t="s">
        <v>22</v>
      </c>
      <c r="C336" s="16">
        <v>214885.5</v>
      </c>
      <c r="D336" s="16">
        <v>21411349.5</v>
      </c>
      <c r="E336" s="5">
        <f>SUMIFS(Лист2!$C$2:$C$505,Лист2!$A$2:$A$505, Лист1!A336,Лист2!$B$2:$B$505,Лист1!B336)</f>
        <v>54</v>
      </c>
      <c r="F336" s="5">
        <f>SUMIFS(Лист2!$D$2:$D$505,Лист2!$A$2:$A$505, Лист1!A336,Лист2!$B$2:$B$505,Лист1!B336)</f>
        <v>13298</v>
      </c>
      <c r="G336" s="5">
        <f>SUMIFS(Лист2!$E$2:$E$505,Лист2!$A$2:$A$505, Лист1!A336,Лист2!$B$2:$B$505,Лист1!B336)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2">
      <c r="A337" s="10">
        <v>43956</v>
      </c>
      <c r="B337" s="6" t="s">
        <v>22</v>
      </c>
      <c r="C337" s="17">
        <v>203832</v>
      </c>
      <c r="D337" s="17">
        <v>20880142.5</v>
      </c>
      <c r="E337" s="5">
        <f>SUMIFS(Лист2!$C$2:$C$505,Лист2!$A$2:$A$505, Лист1!A337,Лист2!$B$2:$B$505,Лист1!B337)</f>
        <v>54</v>
      </c>
      <c r="F337" s="5">
        <f>SUMIFS(Лист2!$D$2:$D$505,Лист2!$A$2:$A$505, Лист1!A337,Лист2!$B$2:$B$505,Лист1!B337)</f>
        <v>12775</v>
      </c>
      <c r="G337" s="5">
        <f>SUMIFS(Лист2!$E$2:$E$505,Лист2!$A$2:$A$505, Лист1!A337,Лист2!$B$2:$B$505,Лист1!B337)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2">
      <c r="A338" s="9">
        <v>43964</v>
      </c>
      <c r="B338" s="4" t="s">
        <v>22</v>
      </c>
      <c r="C338" s="16">
        <v>188662.5</v>
      </c>
      <c r="D338" s="16">
        <v>18784000.5</v>
      </c>
      <c r="E338" s="5">
        <f>SUMIFS(Лист2!$C$2:$C$505,Лист2!$A$2:$A$505, Лист1!A338,Лист2!$B$2:$B$505,Лист1!B338)</f>
        <v>54</v>
      </c>
      <c r="F338" s="5">
        <f>SUMIFS(Лист2!$D$2:$D$505,Лист2!$A$2:$A$505, Лист1!A338,Лист2!$B$2:$B$505,Лист1!B338)</f>
        <v>11522</v>
      </c>
      <c r="G338" s="5">
        <f>SUMIFS(Лист2!$E$2:$E$505,Лист2!$A$2:$A$505, Лист1!A338,Лист2!$B$2:$B$505,Лист1!B338)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2">
      <c r="A339" s="10">
        <v>43982</v>
      </c>
      <c r="B339" s="6" t="s">
        <v>21</v>
      </c>
      <c r="C339" s="17">
        <v>215277</v>
      </c>
      <c r="D339" s="17">
        <v>21585316.5</v>
      </c>
      <c r="E339" s="5">
        <f>SUMIFS(Лист2!$C$2:$C$505,Лист2!$A$2:$A$505, Лист1!A339,Лист2!$B$2:$B$505,Лист1!B339)</f>
        <v>59</v>
      </c>
      <c r="F339" s="5">
        <f>SUMIFS(Лист2!$D$2:$D$505,Лист2!$A$2:$A$505, Лист1!A339,Лист2!$B$2:$B$505,Лист1!B339)</f>
        <v>13684</v>
      </c>
      <c r="G339" s="5">
        <f>SUMIFS(Лист2!$E$2:$E$505,Лист2!$A$2:$A$505, Лист1!A339,Лист2!$B$2:$B$505,Лист1!B339)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2">
      <c r="A340" s="9">
        <v>43954</v>
      </c>
      <c r="B340" s="4" t="s">
        <v>22</v>
      </c>
      <c r="C340" s="16">
        <v>248148</v>
      </c>
      <c r="D340" s="16">
        <v>25519072.5</v>
      </c>
      <c r="E340" s="5">
        <f>SUMIFS(Лист2!$C$2:$C$505,Лист2!$A$2:$A$505, Лист1!A340,Лист2!$B$2:$B$505,Лист1!B340)</f>
        <v>54</v>
      </c>
      <c r="F340" s="5">
        <f>SUMIFS(Лист2!$D$2:$D$505,Лист2!$A$2:$A$505, Лист1!A340,Лист2!$B$2:$B$505,Лист1!B340)</f>
        <v>14823</v>
      </c>
      <c r="G340" s="5">
        <f>SUMIFS(Лист2!$E$2:$E$505,Лист2!$A$2:$A$505, Лист1!A340,Лист2!$B$2:$B$505,Лист1!B340)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2">
      <c r="A341" s="10">
        <v>43981</v>
      </c>
      <c r="B341" s="6" t="s">
        <v>21</v>
      </c>
      <c r="C341" s="17">
        <v>246414</v>
      </c>
      <c r="D341" s="17">
        <v>24527245.5</v>
      </c>
      <c r="E341" s="5">
        <f>SUMIFS(Лист2!$C$2:$C$505,Лист2!$A$2:$A$505, Лист1!A341,Лист2!$B$2:$B$505,Лист1!B341)</f>
        <v>59</v>
      </c>
      <c r="F341" s="5">
        <f>SUMIFS(Лист2!$D$2:$D$505,Лист2!$A$2:$A$505, Лист1!A341,Лист2!$B$2:$B$505,Лист1!B341)</f>
        <v>15030</v>
      </c>
      <c r="G341" s="5">
        <f>SUMIFS(Лист2!$E$2:$E$505,Лист2!$A$2:$A$505, Лист1!A341,Лист2!$B$2:$B$505,Лист1!B341)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2">
      <c r="A342" s="9">
        <v>43957</v>
      </c>
      <c r="B342" s="4" t="s">
        <v>22</v>
      </c>
      <c r="C342" s="16">
        <v>216498</v>
      </c>
      <c r="D342" s="16">
        <v>22126444.5</v>
      </c>
      <c r="E342" s="5">
        <f>SUMIFS(Лист2!$C$2:$C$505,Лист2!$A$2:$A$505, Лист1!A342,Лист2!$B$2:$B$505,Лист1!B342)</f>
        <v>54</v>
      </c>
      <c r="F342" s="5">
        <f>SUMIFS(Лист2!$D$2:$D$505,Лист2!$A$2:$A$505, Лист1!A342,Лист2!$B$2:$B$505,Лист1!B342)</f>
        <v>13406</v>
      </c>
      <c r="G342" s="5">
        <f>SUMIFS(Лист2!$E$2:$E$505,Лист2!$A$2:$A$505, Лист1!A342,Лист2!$B$2:$B$505,Лист1!B342)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2">
      <c r="A343" s="10">
        <v>43974</v>
      </c>
      <c r="B343" s="6" t="s">
        <v>22</v>
      </c>
      <c r="C343" s="17">
        <v>275793</v>
      </c>
      <c r="D343" s="17">
        <v>26806626</v>
      </c>
      <c r="E343" s="5">
        <f>SUMIFS(Лист2!$C$2:$C$505,Лист2!$A$2:$A$505, Лист1!A343,Лист2!$B$2:$B$505,Лист1!B343)</f>
        <v>54</v>
      </c>
      <c r="F343" s="5">
        <f>SUMIFS(Лист2!$D$2:$D$505,Лист2!$A$2:$A$505, Лист1!A343,Лист2!$B$2:$B$505,Лист1!B343)</f>
        <v>16221</v>
      </c>
      <c r="G343" s="5">
        <f>SUMIFS(Лист2!$E$2:$E$505,Лист2!$A$2:$A$505, Лист1!A343,Лист2!$B$2:$B$505,Лист1!B343)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2">
      <c r="A344" s="9">
        <v>43979</v>
      </c>
      <c r="B344" s="4" t="s">
        <v>21</v>
      </c>
      <c r="C344" s="16">
        <v>199753.5</v>
      </c>
      <c r="D344" s="16">
        <v>20535733.5</v>
      </c>
      <c r="E344" s="5">
        <f>SUMIFS(Лист2!$C$2:$C$505,Лист2!$A$2:$A$505, Лист1!A344,Лист2!$B$2:$B$505,Лист1!B344)</f>
        <v>60</v>
      </c>
      <c r="F344" s="5">
        <f>SUMIFS(Лист2!$D$2:$D$505,Лист2!$A$2:$A$505, Лист1!A344,Лист2!$B$2:$B$505,Лист1!B344)</f>
        <v>12854</v>
      </c>
      <c r="G344" s="5">
        <f>SUMIFS(Лист2!$E$2:$E$505,Лист2!$A$2:$A$505, Лист1!A344,Лист2!$B$2:$B$505,Лист1!B344)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2">
      <c r="A345" s="10">
        <v>43976</v>
      </c>
      <c r="B345" s="6" t="s">
        <v>22</v>
      </c>
      <c r="C345" s="17">
        <v>192948</v>
      </c>
      <c r="D345" s="17">
        <v>19806927</v>
      </c>
      <c r="E345" s="5">
        <f>SUMIFS(Лист2!$C$2:$C$505,Лист2!$A$2:$A$505, Лист1!A345,Лист2!$B$2:$B$505,Лист1!B345)</f>
        <v>54</v>
      </c>
      <c r="F345" s="5">
        <f>SUMIFS(Лист2!$D$2:$D$505,Лист2!$A$2:$A$505, Лист1!A345,Лист2!$B$2:$B$505,Лист1!B345)</f>
        <v>12336</v>
      </c>
      <c r="G345" s="5">
        <f>SUMIFS(Лист2!$E$2:$E$505,Лист2!$A$2:$A$505, Лист1!A345,Лист2!$B$2:$B$505,Лист1!B345)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2">
      <c r="A346" s="9">
        <v>43951</v>
      </c>
      <c r="B346" s="4" t="s">
        <v>22</v>
      </c>
      <c r="C346" s="16">
        <v>206038.5</v>
      </c>
      <c r="D346" s="16">
        <v>21740460</v>
      </c>
      <c r="E346" s="5">
        <f>SUMIFS(Лист2!$C$2:$C$505,Лист2!$A$2:$A$505, Лист1!A346,Лист2!$B$2:$B$505,Лист1!B346)</f>
        <v>54</v>
      </c>
      <c r="F346" s="5">
        <f>SUMIFS(Лист2!$D$2:$D$505,Лист2!$A$2:$A$505, Лист1!A346,Лист2!$B$2:$B$505,Лист1!B346)</f>
        <v>12817</v>
      </c>
      <c r="G346" s="5">
        <f>SUMIFS(Лист2!$E$2:$E$505,Лист2!$A$2:$A$505, Лист1!A346,Лист2!$B$2:$B$505,Лист1!B346)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2">
      <c r="A347" s="10">
        <v>43961</v>
      </c>
      <c r="B347" s="6" t="s">
        <v>22</v>
      </c>
      <c r="C347" s="17">
        <v>231559.5</v>
      </c>
      <c r="D347" s="17">
        <v>23443725</v>
      </c>
      <c r="E347" s="5">
        <f>SUMIFS(Лист2!$C$2:$C$505,Лист2!$A$2:$A$505, Лист1!A347,Лист2!$B$2:$B$505,Лист1!B347)</f>
        <v>54</v>
      </c>
      <c r="F347" s="5">
        <f>SUMIFS(Лист2!$D$2:$D$505,Лист2!$A$2:$A$505, Лист1!A347,Лист2!$B$2:$B$505,Лист1!B347)</f>
        <v>13832</v>
      </c>
      <c r="G347" s="5">
        <f>SUMIFS(Лист2!$E$2:$E$505,Лист2!$A$2:$A$505, Лист1!A347,Лист2!$B$2:$B$505,Лист1!B347)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2">
      <c r="A348" s="9">
        <v>43959</v>
      </c>
      <c r="B348" s="4" t="s">
        <v>22</v>
      </c>
      <c r="C348" s="16">
        <v>225076.5</v>
      </c>
      <c r="D348" s="16">
        <v>22846078.5</v>
      </c>
      <c r="E348" s="5">
        <f>SUMIFS(Лист2!$C$2:$C$505,Лист2!$A$2:$A$505, Лист1!A348,Лист2!$B$2:$B$505,Лист1!B348)</f>
        <v>54</v>
      </c>
      <c r="F348" s="5">
        <f>SUMIFS(Лист2!$D$2:$D$505,Лист2!$A$2:$A$505, Лист1!A348,Лист2!$B$2:$B$505,Лист1!B348)</f>
        <v>13563</v>
      </c>
      <c r="G348" s="5">
        <f>SUMIFS(Лист2!$E$2:$E$505,Лист2!$A$2:$A$505, Лист1!A348,Лист2!$B$2:$B$505,Лист1!B348)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2">
      <c r="A349" s="10">
        <v>43958</v>
      </c>
      <c r="B349" s="6" t="s">
        <v>22</v>
      </c>
      <c r="C349" s="17">
        <v>209415</v>
      </c>
      <c r="D349" s="17">
        <v>21463023</v>
      </c>
      <c r="E349" s="5">
        <f>SUMIFS(Лист2!$C$2:$C$505,Лист2!$A$2:$A$505, Лист1!A349,Лист2!$B$2:$B$505,Лист1!B349)</f>
        <v>54</v>
      </c>
      <c r="F349" s="5">
        <f>SUMIFS(Лист2!$D$2:$D$505,Лист2!$A$2:$A$505, Лист1!A349,Лист2!$B$2:$B$505,Лист1!B349)</f>
        <v>12743</v>
      </c>
      <c r="G349" s="5">
        <f>SUMIFS(Лист2!$E$2:$E$505,Лист2!$A$2:$A$505, Лист1!A349,Лист2!$B$2:$B$505,Лист1!B349)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2">
      <c r="A350" s="9">
        <v>43975</v>
      </c>
      <c r="B350" s="4" t="s">
        <v>22</v>
      </c>
      <c r="C350" s="16">
        <v>193719</v>
      </c>
      <c r="D350" s="16">
        <v>19071117</v>
      </c>
      <c r="E350" s="5">
        <f>SUMIFS(Лист2!$C$2:$C$505,Лист2!$A$2:$A$505, Лист1!A350,Лист2!$B$2:$B$505,Лист1!B350)</f>
        <v>54</v>
      </c>
      <c r="F350" s="5">
        <f>SUMIFS(Лист2!$D$2:$D$505,Лист2!$A$2:$A$505, Лист1!A350,Лист2!$B$2:$B$505,Лист1!B350)</f>
        <v>12211</v>
      </c>
      <c r="G350" s="5">
        <f>SUMIFS(Лист2!$E$2:$E$505,Лист2!$A$2:$A$505, Лист1!A350,Лист2!$B$2:$B$505,Лист1!B350)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2">
      <c r="A351" s="10">
        <v>43950</v>
      </c>
      <c r="B351" s="6" t="s">
        <v>23</v>
      </c>
      <c r="C351" s="17">
        <v>12250.5</v>
      </c>
      <c r="D351" s="17">
        <v>981519</v>
      </c>
      <c r="E351" s="5">
        <f>SUMIFS(Лист2!$C$2:$C$505,Лист2!$A$2:$A$505, Лист1!A351,Лист2!$B$2:$B$505,Лист1!B351)</f>
        <v>15</v>
      </c>
      <c r="F351" s="5">
        <f>SUMIFS(Лист2!$D$2:$D$505,Лист2!$A$2:$A$505, Лист1!A351,Лист2!$B$2:$B$505,Лист1!B351)</f>
        <v>659</v>
      </c>
      <c r="G351" s="5">
        <f>SUMIFS(Лист2!$E$2:$E$505,Лист2!$A$2:$A$505, Лист1!A351,Лист2!$B$2:$B$505,Лист1!B351)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2">
      <c r="A352" s="9">
        <v>43949</v>
      </c>
      <c r="B352" s="4" t="s">
        <v>23</v>
      </c>
      <c r="C352" s="16">
        <v>12541.5</v>
      </c>
      <c r="D352" s="16">
        <v>992541</v>
      </c>
      <c r="E352" s="5">
        <f>SUMIFS(Лист2!$C$2:$C$505,Лист2!$A$2:$A$505, Лист1!A352,Лист2!$B$2:$B$505,Лист1!B352)</f>
        <v>15</v>
      </c>
      <c r="F352" s="5">
        <f>SUMIFS(Лист2!$D$2:$D$505,Лист2!$A$2:$A$505, Лист1!A352,Лист2!$B$2:$B$505,Лист1!B352)</f>
        <v>636</v>
      </c>
      <c r="G352" s="5">
        <f>SUMIFS(Лист2!$E$2:$E$505,Лист2!$A$2:$A$505, Лист1!A352,Лист2!$B$2:$B$505,Лист1!B352)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2">
      <c r="A353" s="10">
        <v>43982</v>
      </c>
      <c r="B353" s="6" t="s">
        <v>22</v>
      </c>
      <c r="C353" s="17">
        <v>206758.5</v>
      </c>
      <c r="D353" s="17">
        <v>20717248.5</v>
      </c>
      <c r="E353" s="5">
        <f>SUMIFS(Лист2!$C$2:$C$505,Лист2!$A$2:$A$505, Лист1!A353,Лист2!$B$2:$B$505,Лист1!B353)</f>
        <v>54</v>
      </c>
      <c r="F353" s="5">
        <f>SUMIFS(Лист2!$D$2:$D$505,Лист2!$A$2:$A$505, Лист1!A353,Лист2!$B$2:$B$505,Лист1!B353)</f>
        <v>13106</v>
      </c>
      <c r="G353" s="5">
        <f>SUMIFS(Лист2!$E$2:$E$505,Лист2!$A$2:$A$505, Лист1!A353,Лист2!$B$2:$B$505,Лист1!B353)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2">
      <c r="A354" s="9">
        <v>43981</v>
      </c>
      <c r="B354" s="4" t="s">
        <v>22</v>
      </c>
      <c r="C354" s="16">
        <v>244734</v>
      </c>
      <c r="D354" s="16">
        <v>24151980</v>
      </c>
      <c r="E354" s="5">
        <f>SUMIFS(Лист2!$C$2:$C$505,Лист2!$A$2:$A$505, Лист1!A354,Лист2!$B$2:$B$505,Лист1!B354)</f>
        <v>54</v>
      </c>
      <c r="F354" s="5">
        <f>SUMIFS(Лист2!$D$2:$D$505,Лист2!$A$2:$A$505, Лист1!A354,Лист2!$B$2:$B$505,Лист1!B354)</f>
        <v>14590</v>
      </c>
      <c r="G354" s="5">
        <f>SUMIFS(Лист2!$E$2:$E$505,Лист2!$A$2:$A$505, Лист1!A354,Лист2!$B$2:$B$505,Лист1!B354)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2">
      <c r="A355" s="10">
        <v>43979</v>
      </c>
      <c r="B355" s="6" t="s">
        <v>22</v>
      </c>
      <c r="C355" s="17">
        <v>191641.5</v>
      </c>
      <c r="D355" s="17">
        <v>19549036.5</v>
      </c>
      <c r="E355" s="5">
        <f>SUMIFS(Лист2!$C$2:$C$505,Лист2!$A$2:$A$505, Лист1!A355,Лист2!$B$2:$B$505,Лист1!B355)</f>
        <v>54</v>
      </c>
      <c r="F355" s="5">
        <f>SUMIFS(Лист2!$D$2:$D$505,Лист2!$A$2:$A$505, Лист1!A355,Лист2!$B$2:$B$505,Лист1!B355)</f>
        <v>12409</v>
      </c>
      <c r="G355" s="5">
        <f>SUMIFS(Лист2!$E$2:$E$505,Лист2!$A$2:$A$505, Лист1!A355,Лист2!$B$2:$B$505,Лист1!B355)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2">
      <c r="A356" s="9">
        <v>43967</v>
      </c>
      <c r="B356" s="4" t="s">
        <v>23</v>
      </c>
      <c r="C356" s="16">
        <v>16368</v>
      </c>
      <c r="D356" s="16">
        <v>1316350.5</v>
      </c>
      <c r="E356" s="5">
        <f>SUMIFS(Лист2!$C$2:$C$505,Лист2!$A$2:$A$505, Лист1!A356,Лист2!$B$2:$B$505,Лист1!B356)</f>
        <v>16</v>
      </c>
      <c r="F356" s="5">
        <f>SUMIFS(Лист2!$D$2:$D$505,Лист2!$A$2:$A$505, Лист1!A356,Лист2!$B$2:$B$505,Лист1!B356)</f>
        <v>920</v>
      </c>
      <c r="G356" s="5">
        <f>SUMIFS(Лист2!$E$2:$E$505,Лист2!$A$2:$A$505, Лист1!A356,Лист2!$B$2:$B$505,Лист1!B356)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2">
      <c r="A357" s="10">
        <v>43970</v>
      </c>
      <c r="B357" s="6" t="s">
        <v>23</v>
      </c>
      <c r="C357" s="17">
        <v>14427</v>
      </c>
      <c r="D357" s="17">
        <v>1126810.5</v>
      </c>
      <c r="E357" s="5">
        <f>SUMIFS(Лист2!$C$2:$C$505,Лист2!$A$2:$A$505, Лист1!A357,Лист2!$B$2:$B$505,Лист1!B357)</f>
        <v>17</v>
      </c>
      <c r="F357" s="5">
        <f>SUMIFS(Лист2!$D$2:$D$505,Лист2!$A$2:$A$505, Лист1!A357,Лист2!$B$2:$B$505,Лист1!B357)</f>
        <v>857</v>
      </c>
      <c r="G357" s="5">
        <f>SUMIFS(Лист2!$E$2:$E$505,Лист2!$A$2:$A$505, Лист1!A357,Лист2!$B$2:$B$505,Лист1!B357)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2">
      <c r="A358" s="9">
        <v>43968</v>
      </c>
      <c r="B358" s="4" t="s">
        <v>23</v>
      </c>
      <c r="C358" s="16">
        <v>13440</v>
      </c>
      <c r="D358" s="16">
        <v>1157529</v>
      </c>
      <c r="E358" s="5">
        <f>SUMIFS(Лист2!$C$2:$C$505,Лист2!$A$2:$A$505, Лист1!A358,Лист2!$B$2:$B$505,Лист1!B358)</f>
        <v>16</v>
      </c>
      <c r="F358" s="5">
        <f>SUMIFS(Лист2!$D$2:$D$505,Лист2!$A$2:$A$505, Лист1!A358,Лист2!$B$2:$B$505,Лист1!B358)</f>
        <v>859</v>
      </c>
      <c r="G358" s="5">
        <f>SUMIFS(Лист2!$E$2:$E$505,Лист2!$A$2:$A$505, Лист1!A358,Лист2!$B$2:$B$505,Лист1!B358)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2">
      <c r="A359" s="10">
        <v>43960</v>
      </c>
      <c r="B359" s="6" t="s">
        <v>23</v>
      </c>
      <c r="C359" s="17">
        <v>11745</v>
      </c>
      <c r="D359" s="17">
        <v>955801.5</v>
      </c>
      <c r="E359" s="5">
        <f>SUMIFS(Лист2!$C$2:$C$505,Лист2!$A$2:$A$505, Лист1!A359,Лист2!$B$2:$B$505,Лист1!B359)</f>
        <v>15</v>
      </c>
      <c r="F359" s="5">
        <f>SUMIFS(Лист2!$D$2:$D$505,Лист2!$A$2:$A$505, Лист1!A359,Лист2!$B$2:$B$505,Лист1!B359)</f>
        <v>654</v>
      </c>
      <c r="G359" s="5">
        <f>SUMIFS(Лист2!$E$2:$E$505,Лист2!$A$2:$A$505, Лист1!A359,Лист2!$B$2:$B$505,Лист1!B359)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2">
      <c r="A360" s="9">
        <v>43955</v>
      </c>
      <c r="B360" s="4" t="s">
        <v>23</v>
      </c>
      <c r="C360" s="16">
        <v>11062.5</v>
      </c>
      <c r="D360" s="16">
        <v>906343.5</v>
      </c>
      <c r="E360" s="5">
        <f>SUMIFS(Лист2!$C$2:$C$505,Лист2!$A$2:$A$505, Лист1!A360,Лист2!$B$2:$B$505,Лист1!B360)</f>
        <v>15</v>
      </c>
      <c r="F360" s="5">
        <f>SUMIFS(Лист2!$D$2:$D$505,Лист2!$A$2:$A$505, Лист1!A360,Лист2!$B$2:$B$505,Лист1!B360)</f>
        <v>622</v>
      </c>
      <c r="G360" s="5">
        <f>SUMIFS(Лист2!$E$2:$E$505,Лист2!$A$2:$A$505, Лист1!A360,Лист2!$B$2:$B$505,Лист1!B360)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2">
      <c r="A361" s="10">
        <v>43953</v>
      </c>
      <c r="B361" s="6" t="s">
        <v>23</v>
      </c>
      <c r="C361" s="17">
        <v>10018.5</v>
      </c>
      <c r="D361" s="17">
        <v>816859.5</v>
      </c>
      <c r="E361" s="5">
        <f>SUMIFS(Лист2!$C$2:$C$505,Лист2!$A$2:$A$505, Лист1!A361,Лист2!$B$2:$B$505,Лист1!B361)</f>
        <v>15</v>
      </c>
      <c r="F361" s="5">
        <f>SUMIFS(Лист2!$D$2:$D$505,Лист2!$A$2:$A$505, Лист1!A361,Лист2!$B$2:$B$505,Лист1!B361)</f>
        <v>567</v>
      </c>
      <c r="G361" s="5">
        <f>SUMIFS(Лист2!$E$2:$E$505,Лист2!$A$2:$A$505, Лист1!A361,Лист2!$B$2:$B$505,Лист1!B361)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2">
      <c r="A362" s="9">
        <v>43977</v>
      </c>
      <c r="B362" s="4" t="s">
        <v>24</v>
      </c>
      <c r="C362" s="16">
        <v>10437</v>
      </c>
      <c r="D362" s="16">
        <v>833815.5</v>
      </c>
      <c r="E362" s="5">
        <f>SUMIFS(Лист2!$C$2:$C$505,Лист2!$A$2:$A$505, Лист1!A362,Лист2!$B$2:$B$505,Лист1!B362)</f>
        <v>7</v>
      </c>
      <c r="F362" s="5">
        <f>SUMIFS(Лист2!$D$2:$D$505,Лист2!$A$2:$A$505, Лист1!A362,Лист2!$B$2:$B$505,Лист1!B362)</f>
        <v>577</v>
      </c>
      <c r="G362" s="5">
        <f>SUMIFS(Лист2!$E$2:$E$505,Лист2!$A$2:$A$505, Лист1!A362,Лист2!$B$2:$B$505,Лист1!B362)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2">
      <c r="A363" s="10">
        <v>43952</v>
      </c>
      <c r="B363" s="6" t="s">
        <v>23</v>
      </c>
      <c r="C363" s="17">
        <v>13644</v>
      </c>
      <c r="D363" s="17">
        <v>1134444</v>
      </c>
      <c r="E363" s="5">
        <f>SUMIFS(Лист2!$C$2:$C$505,Лист2!$A$2:$A$505, Лист1!A363,Лист2!$B$2:$B$505,Лист1!B363)</f>
        <v>15</v>
      </c>
      <c r="F363" s="5">
        <f>SUMIFS(Лист2!$D$2:$D$505,Лист2!$A$2:$A$505, Лист1!A363,Лист2!$B$2:$B$505,Лист1!B363)</f>
        <v>721</v>
      </c>
      <c r="G363" s="5">
        <f>SUMIFS(Лист2!$E$2:$E$505,Лист2!$A$2:$A$505, Лист1!A363,Лист2!$B$2:$B$505,Лист1!B363)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2">
      <c r="A364" s="9">
        <v>43963</v>
      </c>
      <c r="B364" s="4" t="s">
        <v>23</v>
      </c>
      <c r="C364" s="16">
        <v>13443</v>
      </c>
      <c r="D364" s="16">
        <v>1092277.5</v>
      </c>
      <c r="E364" s="5">
        <f>SUMIFS(Лист2!$C$2:$C$505,Лист2!$A$2:$A$505, Лист1!A364,Лист2!$B$2:$B$505,Лист1!B364)</f>
        <v>15</v>
      </c>
      <c r="F364" s="5">
        <f>SUMIFS(Лист2!$D$2:$D$505,Лист2!$A$2:$A$505, Лист1!A364,Лист2!$B$2:$B$505,Лист1!B364)</f>
        <v>750</v>
      </c>
      <c r="G364" s="5">
        <f>SUMIFS(Лист2!$E$2:$E$505,Лист2!$A$2:$A$505, Лист1!A364,Лист2!$B$2:$B$505,Лист1!B364)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2">
      <c r="A365" s="10">
        <v>43972</v>
      </c>
      <c r="B365" s="6" t="s">
        <v>23</v>
      </c>
      <c r="C365" s="17">
        <v>14182.5</v>
      </c>
      <c r="D365" s="17">
        <v>1172574</v>
      </c>
      <c r="E365" s="5">
        <f>SUMIFS(Лист2!$C$2:$C$505,Лист2!$A$2:$A$505, Лист1!A365,Лист2!$B$2:$B$505,Лист1!B365)</f>
        <v>18</v>
      </c>
      <c r="F365" s="5">
        <f>SUMIFS(Лист2!$D$2:$D$505,Лист2!$A$2:$A$505, Лист1!A365,Лист2!$B$2:$B$505,Лист1!B365)</f>
        <v>888</v>
      </c>
      <c r="G365" s="5">
        <f>SUMIFS(Лист2!$E$2:$E$505,Лист2!$A$2:$A$505, Лист1!A365,Лист2!$B$2:$B$505,Лист1!B365)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2">
      <c r="A366" s="9">
        <v>43971</v>
      </c>
      <c r="B366" s="4" t="s">
        <v>23</v>
      </c>
      <c r="C366" s="16">
        <v>14928</v>
      </c>
      <c r="D366" s="16">
        <v>1217749.5</v>
      </c>
      <c r="E366" s="5">
        <f>SUMIFS(Лист2!$C$2:$C$505,Лист2!$A$2:$A$505, Лист1!A366,Лист2!$B$2:$B$505,Лист1!B366)</f>
        <v>17</v>
      </c>
      <c r="F366" s="5">
        <f>SUMIFS(Лист2!$D$2:$D$505,Лист2!$A$2:$A$505, Лист1!A366,Лист2!$B$2:$B$505,Лист1!B366)</f>
        <v>890</v>
      </c>
      <c r="G366" s="5">
        <f>SUMIFS(Лист2!$E$2:$E$505,Лист2!$A$2:$A$505, Лист1!A366,Лист2!$B$2:$B$505,Лист1!B366)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2">
      <c r="A367" s="10">
        <v>43956</v>
      </c>
      <c r="B367" s="6" t="s">
        <v>23</v>
      </c>
      <c r="C367" s="17">
        <v>13941</v>
      </c>
      <c r="D367" s="17">
        <v>1145575.5</v>
      </c>
      <c r="E367" s="5">
        <f>SUMIFS(Лист2!$C$2:$C$505,Лист2!$A$2:$A$505, Лист1!A367,Лист2!$B$2:$B$505,Лист1!B367)</f>
        <v>15</v>
      </c>
      <c r="F367" s="5">
        <f>SUMIFS(Лист2!$D$2:$D$505,Лист2!$A$2:$A$505, Лист1!A367,Лист2!$B$2:$B$505,Лист1!B367)</f>
        <v>750</v>
      </c>
      <c r="G367" s="5">
        <f>SUMIFS(Лист2!$E$2:$E$505,Лист2!$A$2:$A$505, Лист1!A367,Лист2!$B$2:$B$505,Лист1!B367)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2">
      <c r="A368" s="9">
        <v>43964</v>
      </c>
      <c r="B368" s="4" t="s">
        <v>23</v>
      </c>
      <c r="C368" s="16">
        <v>14643</v>
      </c>
      <c r="D368" s="16">
        <v>1172691</v>
      </c>
      <c r="E368" s="5">
        <f>SUMIFS(Лист2!$C$2:$C$505,Лист2!$A$2:$A$505, Лист1!A368,Лист2!$B$2:$B$505,Лист1!B368)</f>
        <v>15</v>
      </c>
      <c r="F368" s="5">
        <f>SUMIFS(Лист2!$D$2:$D$505,Лист2!$A$2:$A$505, Лист1!A368,Лист2!$B$2:$B$505,Лист1!B368)</f>
        <v>854</v>
      </c>
      <c r="G368" s="5">
        <f>SUMIFS(Лист2!$E$2:$E$505,Лист2!$A$2:$A$505, Лист1!A368,Лист2!$B$2:$B$505,Лист1!B368)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2">
      <c r="A369" s="10">
        <v>43954</v>
      </c>
      <c r="B369" s="6" t="s">
        <v>23</v>
      </c>
      <c r="C369" s="17">
        <v>10032</v>
      </c>
      <c r="D369" s="17">
        <v>816150</v>
      </c>
      <c r="E369" s="5">
        <f>SUMIFS(Лист2!$C$2:$C$505,Лист2!$A$2:$A$505, Лист1!A369,Лист2!$B$2:$B$505,Лист1!B369)</f>
        <v>15</v>
      </c>
      <c r="F369" s="5">
        <f>SUMIFS(Лист2!$D$2:$D$505,Лист2!$A$2:$A$505, Лист1!A369,Лист2!$B$2:$B$505,Лист1!B369)</f>
        <v>585</v>
      </c>
      <c r="G369" s="5">
        <f>SUMIFS(Лист2!$E$2:$E$505,Лист2!$A$2:$A$505, Лист1!A369,Лист2!$B$2:$B$505,Лист1!B369)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2">
      <c r="A370" s="9">
        <v>43957</v>
      </c>
      <c r="B370" s="4" t="s">
        <v>23</v>
      </c>
      <c r="C370" s="16">
        <v>12468</v>
      </c>
      <c r="D370" s="16">
        <v>1016566.5</v>
      </c>
      <c r="E370" s="5">
        <f>SUMIFS(Лист2!$C$2:$C$505,Лист2!$A$2:$A$505, Лист1!A370,Лист2!$B$2:$B$505,Лист1!B370)</f>
        <v>15</v>
      </c>
      <c r="F370" s="5">
        <f>SUMIFS(Лист2!$D$2:$D$505,Лист2!$A$2:$A$505, Лист1!A370,Лист2!$B$2:$B$505,Лист1!B370)</f>
        <v>701</v>
      </c>
      <c r="G370" s="5">
        <f>SUMIFS(Лист2!$E$2:$E$505,Лист2!$A$2:$A$505, Лист1!A370,Лист2!$B$2:$B$505,Лист1!B370)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2">
      <c r="A371" s="10">
        <v>43974</v>
      </c>
      <c r="B371" s="6" t="s">
        <v>23</v>
      </c>
      <c r="C371" s="17">
        <v>17943</v>
      </c>
      <c r="D371" s="17">
        <v>1457391</v>
      </c>
      <c r="E371" s="5">
        <f>SUMIFS(Лист2!$C$2:$C$505,Лист2!$A$2:$A$505, Лист1!A371,Лист2!$B$2:$B$505,Лист1!B371)</f>
        <v>18</v>
      </c>
      <c r="F371" s="5">
        <f>SUMIFS(Лист2!$D$2:$D$505,Лист2!$A$2:$A$505, Лист1!A371,Лист2!$B$2:$B$505,Лист1!B371)</f>
        <v>1031</v>
      </c>
      <c r="G371" s="5">
        <f>SUMIFS(Лист2!$E$2:$E$505,Лист2!$A$2:$A$505, Лист1!A371,Лист2!$B$2:$B$505,Лист1!B371)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2">
      <c r="A372" s="9">
        <v>43976</v>
      </c>
      <c r="B372" s="4" t="s">
        <v>23</v>
      </c>
      <c r="C372" s="16">
        <v>15807</v>
      </c>
      <c r="D372" s="16">
        <v>1326705</v>
      </c>
      <c r="E372" s="5">
        <f>SUMIFS(Лист2!$C$2:$C$505,Лист2!$A$2:$A$505, Лист1!A372,Лист2!$B$2:$B$505,Лист1!B372)</f>
        <v>18</v>
      </c>
      <c r="F372" s="5">
        <f>SUMIFS(Лист2!$D$2:$D$505,Лист2!$A$2:$A$505, Лист1!A372,Лист2!$B$2:$B$505,Лист1!B372)</f>
        <v>989</v>
      </c>
      <c r="G372" s="5">
        <f>SUMIFS(Лист2!$E$2:$E$505,Лист2!$A$2:$A$505, Лист1!A372,Лист2!$B$2:$B$505,Лист1!B372)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2">
      <c r="A373" s="10">
        <v>43951</v>
      </c>
      <c r="B373" s="6" t="s">
        <v>23</v>
      </c>
      <c r="C373" s="17">
        <v>11976</v>
      </c>
      <c r="D373" s="17">
        <v>1004511</v>
      </c>
      <c r="E373" s="5">
        <f>SUMIFS(Лист2!$C$2:$C$505,Лист2!$A$2:$A$505, Лист1!A373,Лист2!$B$2:$B$505,Лист1!B373)</f>
        <v>15</v>
      </c>
      <c r="F373" s="5">
        <f>SUMIFS(Лист2!$D$2:$D$505,Лист2!$A$2:$A$505, Лист1!A373,Лист2!$B$2:$B$505,Лист1!B373)</f>
        <v>644</v>
      </c>
      <c r="G373" s="5">
        <f>SUMIFS(Лист2!$E$2:$E$505,Лист2!$A$2:$A$505, Лист1!A373,Лист2!$B$2:$B$505,Лист1!B373)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2">
      <c r="A374" s="9">
        <v>43961</v>
      </c>
      <c r="B374" s="4" t="s">
        <v>23</v>
      </c>
      <c r="C374" s="16">
        <v>14566.5</v>
      </c>
      <c r="D374" s="16">
        <v>1216557</v>
      </c>
      <c r="E374" s="5">
        <f>SUMIFS(Лист2!$C$2:$C$505,Лист2!$A$2:$A$505, Лист1!A374,Лист2!$B$2:$B$505,Лист1!B374)</f>
        <v>15</v>
      </c>
      <c r="F374" s="5">
        <f>SUMIFS(Лист2!$D$2:$D$505,Лист2!$A$2:$A$505, Лист1!A374,Лист2!$B$2:$B$505,Лист1!B374)</f>
        <v>792</v>
      </c>
      <c r="G374" s="5">
        <f>SUMIFS(Лист2!$E$2:$E$505,Лист2!$A$2:$A$505, Лист1!A374,Лист2!$B$2:$B$505,Лист1!B374)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2">
      <c r="A375" s="10">
        <v>43959</v>
      </c>
      <c r="B375" s="6" t="s">
        <v>23</v>
      </c>
      <c r="C375" s="17">
        <v>12976.5</v>
      </c>
      <c r="D375" s="17">
        <v>1046848.5</v>
      </c>
      <c r="E375" s="5">
        <f>SUMIFS(Лист2!$C$2:$C$505,Лист2!$A$2:$A$505, Лист1!A375,Лист2!$B$2:$B$505,Лист1!B375)</f>
        <v>15</v>
      </c>
      <c r="F375" s="5">
        <f>SUMIFS(Лист2!$D$2:$D$505,Лист2!$A$2:$A$505, Лист1!A375,Лист2!$B$2:$B$505,Лист1!B375)</f>
        <v>703</v>
      </c>
      <c r="G375" s="5">
        <f>SUMIFS(Лист2!$E$2:$E$505,Лист2!$A$2:$A$505, Лист1!A375,Лист2!$B$2:$B$505,Лист1!B375)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2">
      <c r="A376" s="9">
        <v>43958</v>
      </c>
      <c r="B376" s="4" t="s">
        <v>23</v>
      </c>
      <c r="C376" s="16">
        <v>11719.5</v>
      </c>
      <c r="D376" s="16">
        <v>965880</v>
      </c>
      <c r="E376" s="5">
        <f>SUMIFS(Лист2!$C$2:$C$505,Лист2!$A$2:$A$505, Лист1!A376,Лист2!$B$2:$B$505,Лист1!B376)</f>
        <v>15</v>
      </c>
      <c r="F376" s="5">
        <f>SUMIFS(Лист2!$D$2:$D$505,Лист2!$A$2:$A$505, Лист1!A376,Лист2!$B$2:$B$505,Лист1!B376)</f>
        <v>676</v>
      </c>
      <c r="G376" s="5">
        <f>SUMIFS(Лист2!$E$2:$E$505,Лист2!$A$2:$A$505, Лист1!A376,Лист2!$B$2:$B$505,Лист1!B376)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2">
      <c r="A377" s="10">
        <v>43975</v>
      </c>
      <c r="B377" s="6" t="s">
        <v>23</v>
      </c>
      <c r="C377" s="17">
        <v>17197.5</v>
      </c>
      <c r="D377" s="17">
        <v>1386262.5</v>
      </c>
      <c r="E377" s="5">
        <f>SUMIFS(Лист2!$C$2:$C$505,Лист2!$A$2:$A$505, Лист1!A377,Лист2!$B$2:$B$505,Лист1!B377)</f>
        <v>18</v>
      </c>
      <c r="F377" s="5">
        <f>SUMIFS(Лист2!$D$2:$D$505,Лист2!$A$2:$A$505, Лист1!A377,Лист2!$B$2:$B$505,Лист1!B377)</f>
        <v>1006</v>
      </c>
      <c r="G377" s="5">
        <f>SUMIFS(Лист2!$E$2:$E$505,Лист2!$A$2:$A$505, Лист1!A377,Лист2!$B$2:$B$505,Лист1!B377)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2">
      <c r="A378" s="9">
        <v>43977</v>
      </c>
      <c r="B378" s="4" t="s">
        <v>23</v>
      </c>
      <c r="C378" s="16">
        <v>14419.5</v>
      </c>
      <c r="D378" s="16">
        <v>1210456.5</v>
      </c>
      <c r="E378" s="5">
        <f>SUMIFS(Лист2!$C$2:$C$505,Лист2!$A$2:$A$505, Лист1!A378,Лист2!$B$2:$B$505,Лист1!B378)</f>
        <v>18</v>
      </c>
      <c r="F378" s="5">
        <f>SUMIFS(Лист2!$D$2:$D$505,Лист2!$A$2:$A$505, Лист1!A378,Лист2!$B$2:$B$505,Лист1!B378)</f>
        <v>914</v>
      </c>
      <c r="G378" s="5">
        <f>SUMIFS(Лист2!$E$2:$E$505,Лист2!$A$2:$A$505, Лист1!A378,Лист2!$B$2:$B$505,Лист1!B378)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2">
      <c r="A379" s="10">
        <v>43983</v>
      </c>
      <c r="B379" s="6" t="s">
        <v>9</v>
      </c>
      <c r="C379" s="17">
        <v>7816.5</v>
      </c>
      <c r="D379" s="17">
        <v>636345</v>
      </c>
      <c r="E379" s="5">
        <f>SUMIFS(Лист2!$C$2:$C$505,Лист2!$A$2:$A$505, Лист1!A379,Лист2!$B$2:$B$505,Лист1!B379)</f>
        <v>15</v>
      </c>
      <c r="F379" s="5">
        <f>SUMIFS(Лист2!$D$2:$D$505,Лист2!$A$2:$A$505, Лист1!A379,Лист2!$B$2:$B$505,Лист1!B379)</f>
        <v>453</v>
      </c>
      <c r="G379" s="5">
        <f>SUMIFS(Лист2!$E$2:$E$505,Лист2!$A$2:$A$505, Лист1!A379,Лист2!$B$2:$B$505,Лист1!B379)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2">
      <c r="A380" s="9">
        <v>43982</v>
      </c>
      <c r="B380" s="4" t="s">
        <v>25</v>
      </c>
      <c r="C380" s="16">
        <v>6409.5</v>
      </c>
      <c r="D380" s="16">
        <v>493893</v>
      </c>
      <c r="E380" s="5">
        <f>SUMIFS(Лист2!$C$2:$C$505,Лист2!$A$2:$A$505, Лист1!A380,Лист2!$B$2:$B$505,Лист1!B380)</f>
        <v>9</v>
      </c>
      <c r="F380" s="5">
        <f>SUMIFS(Лист2!$D$2:$D$505,Лист2!$A$2:$A$505, Лист1!A380,Лист2!$B$2:$B$505,Лист1!B380)</f>
        <v>345</v>
      </c>
      <c r="G380" s="5">
        <f>SUMIFS(Лист2!$E$2:$E$505,Лист2!$A$2:$A$505, Лист1!A380,Лист2!$B$2:$B$505,Лист1!B380)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2">
      <c r="A381" s="10">
        <v>43981</v>
      </c>
      <c r="B381" s="6" t="s">
        <v>24</v>
      </c>
      <c r="C381" s="17">
        <v>11220</v>
      </c>
      <c r="D381" s="17">
        <v>928675.5</v>
      </c>
      <c r="E381" s="5">
        <f>SUMIFS(Лист2!$C$2:$C$505,Лист2!$A$2:$A$505, Лист1!A381,Лист2!$B$2:$B$505,Лист1!B381)</f>
        <v>7</v>
      </c>
      <c r="F381" s="5">
        <f>SUMIFS(Лист2!$D$2:$D$505,Лист2!$A$2:$A$505, Лист1!A381,Лист2!$B$2:$B$505,Лист1!B381)</f>
        <v>532</v>
      </c>
      <c r="G381" s="5">
        <f>SUMIFS(Лист2!$E$2:$E$505,Лист2!$A$2:$A$505, Лист1!A381,Лист2!$B$2:$B$505,Лист1!B381)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2">
      <c r="A382" s="9">
        <v>43980</v>
      </c>
      <c r="B382" s="4" t="s">
        <v>9</v>
      </c>
      <c r="C382" s="16">
        <v>8350.5</v>
      </c>
      <c r="D382" s="16">
        <v>651237</v>
      </c>
      <c r="E382" s="5">
        <f>SUMIFS(Лист2!$C$2:$C$505,Лист2!$A$2:$A$505, Лист1!A382,Лист2!$B$2:$B$505,Лист1!B382)</f>
        <v>15</v>
      </c>
      <c r="F382" s="5">
        <f>SUMIFS(Лист2!$D$2:$D$505,Лист2!$A$2:$A$505, Лист1!A382,Лист2!$B$2:$B$505,Лист1!B382)</f>
        <v>400</v>
      </c>
      <c r="G382" s="5">
        <f>SUMIFS(Лист2!$E$2:$E$505,Лист2!$A$2:$A$505, Лист1!A382,Лист2!$B$2:$B$505,Лист1!B382)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2">
      <c r="A383" s="10">
        <v>43979</v>
      </c>
      <c r="B383" s="6" t="s">
        <v>24</v>
      </c>
      <c r="C383" s="17">
        <v>8428.5</v>
      </c>
      <c r="D383" s="17">
        <v>694669.5</v>
      </c>
      <c r="E383" s="5">
        <f>SUMIFS(Лист2!$C$2:$C$505,Лист2!$A$2:$A$505, Лист1!A383,Лист2!$B$2:$B$505,Лист1!B383)</f>
        <v>7</v>
      </c>
      <c r="F383" s="5">
        <f>SUMIFS(Лист2!$D$2:$D$505,Лист2!$A$2:$A$505, Лист1!A383,Лист2!$B$2:$B$505,Лист1!B383)</f>
        <v>420</v>
      </c>
      <c r="G383" s="5">
        <f>SUMIFS(Лист2!$E$2:$E$505,Лист2!$A$2:$A$505, Лист1!A383,Лист2!$B$2:$B$505,Лист1!B383)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2">
      <c r="A384" s="9">
        <v>43978</v>
      </c>
      <c r="B384" s="4" t="s">
        <v>10</v>
      </c>
      <c r="C384" s="16">
        <v>32817</v>
      </c>
      <c r="D384" s="16">
        <v>3015751.5</v>
      </c>
      <c r="E384" s="5">
        <f>SUMIFS(Лист2!$C$2:$C$505,Лист2!$A$2:$A$505, Лист1!A384,Лист2!$B$2:$B$505,Лист1!B384)</f>
        <v>20</v>
      </c>
      <c r="F384" s="5">
        <f>SUMIFS(Лист2!$D$2:$D$505,Лист2!$A$2:$A$505, Лист1!A384,Лист2!$B$2:$B$505,Лист1!B384)</f>
        <v>2079</v>
      </c>
      <c r="G384" s="5">
        <f>SUMIFS(Лист2!$E$2:$E$505,Лист2!$A$2:$A$505, Лист1!A384,Лист2!$B$2:$B$505,Лист1!B384)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2">
      <c r="A385" s="10">
        <v>43973</v>
      </c>
      <c r="B385" s="6" t="s">
        <v>10</v>
      </c>
      <c r="C385" s="17">
        <v>36031.5</v>
      </c>
      <c r="D385" s="17">
        <v>3091069.5</v>
      </c>
      <c r="E385" s="5">
        <f>SUMIFS(Лист2!$C$2:$C$505,Лист2!$A$2:$A$505, Лист1!A385,Лист2!$B$2:$B$505,Лист1!B385)</f>
        <v>21</v>
      </c>
      <c r="F385" s="5">
        <f>SUMIFS(Лист2!$D$2:$D$505,Лист2!$A$2:$A$505, Лист1!A385,Лист2!$B$2:$B$505,Лист1!B385)</f>
        <v>2046</v>
      </c>
      <c r="G385" s="5">
        <f>SUMIFS(Лист2!$E$2:$E$505,Лист2!$A$2:$A$505, Лист1!A385,Лист2!$B$2:$B$505,Лист1!B385)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2">
      <c r="A386" s="9">
        <v>43982</v>
      </c>
      <c r="B386" s="4" t="s">
        <v>26</v>
      </c>
      <c r="C386" s="16">
        <v>5127</v>
      </c>
      <c r="D386" s="16">
        <v>468835.5</v>
      </c>
      <c r="E386" s="5">
        <f>SUMIFS(Лист2!$C$2:$C$505,Лист2!$A$2:$A$505, Лист1!A386,Лист2!$B$2:$B$505,Лист1!B386)</f>
        <v>6</v>
      </c>
      <c r="F386" s="5">
        <f>SUMIFS(Лист2!$D$2:$D$505,Лист2!$A$2:$A$505, Лист1!A386,Лист2!$B$2:$B$505,Лист1!B386)</f>
        <v>261</v>
      </c>
      <c r="G386" s="5">
        <f>SUMIFS(Лист2!$E$2:$E$505,Лист2!$A$2:$A$505, Лист1!A386,Лист2!$B$2:$B$505,Лист1!B386)</f>
        <v>188</v>
      </c>
      <c r="H386">
        <f t="shared" ref="H386:H449" si="12">D386 / E386</f>
        <v>78139.25</v>
      </c>
      <c r="I386">
        <f t="shared" si="11"/>
        <v>22</v>
      </c>
    </row>
    <row r="387" spans="1:9" ht="14.25" customHeight="1" x14ac:dyDescent="0.2">
      <c r="A387" s="10">
        <v>43962</v>
      </c>
      <c r="B387" s="6" t="s">
        <v>10</v>
      </c>
      <c r="C387" s="17">
        <v>27187.5</v>
      </c>
      <c r="D387" s="17">
        <v>2479396.5</v>
      </c>
      <c r="E387" s="5">
        <f>SUMIFS(Лист2!$C$2:$C$505,Лист2!$A$2:$A$505, Лист1!A387,Лист2!$B$2:$B$505,Лист1!B387)</f>
        <v>21</v>
      </c>
      <c r="F387" s="5">
        <f>SUMIFS(Лист2!$D$2:$D$505,Лист2!$A$2:$A$505, Лист1!A387,Лист2!$B$2:$B$505,Лист1!B387)</f>
        <v>1597</v>
      </c>
      <c r="G387" s="5">
        <f>SUMIFS(Лист2!$E$2:$E$505,Лист2!$A$2:$A$505, Лист1!A387,Лист2!$B$2:$B$505,Лист1!B387)</f>
        <v>1457</v>
      </c>
      <c r="H387">
        <f t="shared" si="12"/>
        <v>118066.5</v>
      </c>
      <c r="I387">
        <f t="shared" ref="I387:I450" si="13">WEEKNUM(A387,2)</f>
        <v>20</v>
      </c>
    </row>
    <row r="388" spans="1:9" ht="14.25" customHeight="1" x14ac:dyDescent="0.2">
      <c r="A388" s="9">
        <v>43981</v>
      </c>
      <c r="B388" s="4" t="s">
        <v>23</v>
      </c>
      <c r="C388" s="16">
        <v>20688</v>
      </c>
      <c r="D388" s="16">
        <v>1773154.5</v>
      </c>
      <c r="E388" s="5">
        <f>SUMIFS(Лист2!$C$2:$C$505,Лист2!$A$2:$A$505, Лист1!A388,Лист2!$B$2:$B$505,Лист1!B388)</f>
        <v>18</v>
      </c>
      <c r="F388" s="5">
        <f>SUMIFS(Лист2!$D$2:$D$505,Лист2!$A$2:$A$505, Лист1!A388,Лист2!$B$2:$B$505,Лист1!B388)</f>
        <v>1216</v>
      </c>
      <c r="G388" s="5">
        <f>SUMIFS(Лист2!$E$2:$E$505,Лист2!$A$2:$A$505, Лист1!A388,Лист2!$B$2:$B$505,Лист1!B388)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2">
      <c r="A389" s="10">
        <v>43979</v>
      </c>
      <c r="B389" s="6" t="s">
        <v>23</v>
      </c>
      <c r="C389" s="17">
        <v>15678</v>
      </c>
      <c r="D389" s="17">
        <v>1387443</v>
      </c>
      <c r="E389" s="5">
        <f>SUMIFS(Лист2!$C$2:$C$505,Лист2!$A$2:$A$505, Лист1!A389,Лист2!$B$2:$B$505,Лист1!B389)</f>
        <v>18</v>
      </c>
      <c r="F389" s="5">
        <f>SUMIFS(Лист2!$D$2:$D$505,Лист2!$A$2:$A$505, Лист1!A389,Лист2!$B$2:$B$505,Лист1!B389)</f>
        <v>1020</v>
      </c>
      <c r="G389" s="5">
        <f>SUMIFS(Лист2!$E$2:$E$505,Лист2!$A$2:$A$505, Лист1!A389,Лист2!$B$2:$B$505,Лист1!B389)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2">
      <c r="A390" s="9">
        <v>43969</v>
      </c>
      <c r="B390" s="4" t="s">
        <v>10</v>
      </c>
      <c r="C390" s="16">
        <v>31329</v>
      </c>
      <c r="D390" s="16">
        <v>2826379.5</v>
      </c>
      <c r="E390" s="5">
        <f>SUMIFS(Лист2!$C$2:$C$505,Лист2!$A$2:$A$505, Лист1!A390,Лист2!$B$2:$B$505,Лист1!B390)</f>
        <v>21</v>
      </c>
      <c r="F390" s="5">
        <f>SUMIFS(Лист2!$D$2:$D$505,Лист2!$A$2:$A$505, Лист1!A390,Лист2!$B$2:$B$505,Лист1!B390)</f>
        <v>1834</v>
      </c>
      <c r="G390" s="5">
        <f>SUMIFS(Лист2!$E$2:$E$505,Лист2!$A$2:$A$505, Лист1!A390,Лист2!$B$2:$B$505,Лист1!B390)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2">
      <c r="A391" s="10">
        <v>43965</v>
      </c>
      <c r="B391" s="6" t="s">
        <v>10</v>
      </c>
      <c r="C391" s="17">
        <v>29658</v>
      </c>
      <c r="D391" s="17">
        <v>2703132</v>
      </c>
      <c r="E391" s="5">
        <f>SUMIFS(Лист2!$C$2:$C$505,Лист2!$A$2:$A$505, Лист1!A391,Лист2!$B$2:$B$505,Лист1!B391)</f>
        <v>21</v>
      </c>
      <c r="F391" s="5">
        <f>SUMIFS(Лист2!$D$2:$D$505,Лист2!$A$2:$A$505, Лист1!A391,Лист2!$B$2:$B$505,Лист1!B391)</f>
        <v>1706</v>
      </c>
      <c r="G391" s="5">
        <f>SUMIFS(Лист2!$E$2:$E$505,Лист2!$A$2:$A$505, Лист1!A391,Лист2!$B$2:$B$505,Лист1!B391)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2">
      <c r="A392" s="9">
        <v>43966</v>
      </c>
      <c r="B392" s="4" t="s">
        <v>10</v>
      </c>
      <c r="C392" s="16">
        <v>34150.5</v>
      </c>
      <c r="D392" s="16">
        <v>3038293.5</v>
      </c>
      <c r="E392" s="5">
        <f>SUMIFS(Лист2!$C$2:$C$505,Лист2!$A$2:$A$505, Лист1!A392,Лист2!$B$2:$B$505,Лист1!B392)</f>
        <v>21</v>
      </c>
      <c r="F392" s="5">
        <f>SUMIFS(Лист2!$D$2:$D$505,Лист2!$A$2:$A$505, Лист1!A392,Лист2!$B$2:$B$505,Лист1!B392)</f>
        <v>1926</v>
      </c>
      <c r="G392" s="5">
        <f>SUMIFS(Лист2!$E$2:$E$505,Лист2!$A$2:$A$505, Лист1!A392,Лист2!$B$2:$B$505,Лист1!B392)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2">
      <c r="A393" s="10">
        <v>43983</v>
      </c>
      <c r="B393" s="6" t="s">
        <v>10</v>
      </c>
      <c r="C393" s="17">
        <v>31947</v>
      </c>
      <c r="D393" s="17">
        <v>2945035.5</v>
      </c>
      <c r="E393" s="5">
        <f>SUMIFS(Лист2!$C$2:$C$505,Лист2!$A$2:$A$505, Лист1!A393,Лист2!$B$2:$B$505,Лист1!B393)</f>
        <v>21</v>
      </c>
      <c r="F393" s="5">
        <f>SUMIFS(Лист2!$D$2:$D$505,Лист2!$A$2:$A$505, Лист1!A393,Лист2!$B$2:$B$505,Лист1!B393)</f>
        <v>2025</v>
      </c>
      <c r="G393" s="5">
        <f>SUMIFS(Лист2!$E$2:$E$505,Лист2!$A$2:$A$505, Лист1!A393,Лист2!$B$2:$B$505,Лист1!B393)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2">
      <c r="A394" s="9">
        <v>43982</v>
      </c>
      <c r="B394" s="4" t="s">
        <v>24</v>
      </c>
      <c r="C394" s="16">
        <v>10416</v>
      </c>
      <c r="D394" s="16">
        <v>866023.5</v>
      </c>
      <c r="E394" s="5">
        <f>SUMIFS(Лист2!$C$2:$C$505,Лист2!$A$2:$A$505, Лист1!A394,Лист2!$B$2:$B$505,Лист1!B394)</f>
        <v>7</v>
      </c>
      <c r="F394" s="5">
        <f>SUMIFS(Лист2!$D$2:$D$505,Лист2!$A$2:$A$505, Лист1!A394,Лист2!$B$2:$B$505,Лист1!B394)</f>
        <v>530</v>
      </c>
      <c r="G394" s="5">
        <f>SUMIFS(Лист2!$E$2:$E$505,Лист2!$A$2:$A$505, Лист1!A394,Лист2!$B$2:$B$505,Лист1!B394)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2">
      <c r="A395" s="10">
        <v>43980</v>
      </c>
      <c r="B395" s="6" t="s">
        <v>10</v>
      </c>
      <c r="C395" s="17">
        <v>35431.5</v>
      </c>
      <c r="D395" s="17">
        <v>3193167</v>
      </c>
      <c r="E395" s="5">
        <f>SUMIFS(Лист2!$C$2:$C$505,Лист2!$A$2:$A$505, Лист1!A395,Лист2!$B$2:$B$505,Лист1!B395)</f>
        <v>20</v>
      </c>
      <c r="F395" s="5">
        <f>SUMIFS(Лист2!$D$2:$D$505,Лист2!$A$2:$A$505, Лист1!A395,Лист2!$B$2:$B$505,Лист1!B395)</f>
        <v>2111</v>
      </c>
      <c r="G395" s="5">
        <f>SUMIFS(Лист2!$E$2:$E$505,Лист2!$A$2:$A$505, Лист1!A395,Лист2!$B$2:$B$505,Лист1!B395)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2">
      <c r="A396" s="9">
        <v>43978</v>
      </c>
      <c r="B396" s="4" t="s">
        <v>11</v>
      </c>
      <c r="C396" s="16">
        <v>78544.5</v>
      </c>
      <c r="D396" s="16">
        <v>6701083.5</v>
      </c>
      <c r="E396" s="5">
        <f>SUMIFS(Лист2!$C$2:$C$505,Лист2!$A$2:$A$505, Лист1!A396,Лист2!$B$2:$B$505,Лист1!B396)</f>
        <v>31</v>
      </c>
      <c r="F396" s="5">
        <f>SUMIFS(Лист2!$D$2:$D$505,Лист2!$A$2:$A$505, Лист1!A396,Лист2!$B$2:$B$505,Лист1!B396)</f>
        <v>5330</v>
      </c>
      <c r="G396" s="5">
        <f>SUMIFS(Лист2!$E$2:$E$505,Лист2!$A$2:$A$505, Лист1!A396,Лист2!$B$2:$B$505,Лист1!B396)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2">
      <c r="A397" s="10">
        <v>43973</v>
      </c>
      <c r="B397" s="6" t="s">
        <v>11</v>
      </c>
      <c r="C397" s="17">
        <v>97963.5</v>
      </c>
      <c r="D397" s="17">
        <v>7728465</v>
      </c>
      <c r="E397" s="5">
        <f>SUMIFS(Лист2!$C$2:$C$505,Лист2!$A$2:$A$505, Лист1!A397,Лист2!$B$2:$B$505,Лист1!B397)</f>
        <v>31</v>
      </c>
      <c r="F397" s="5">
        <f>SUMIFS(Лист2!$D$2:$D$505,Лист2!$A$2:$A$505, Лист1!A397,Лист2!$B$2:$B$505,Лист1!B397)</f>
        <v>5965</v>
      </c>
      <c r="G397" s="5">
        <f>SUMIFS(Лист2!$E$2:$E$505,Лист2!$A$2:$A$505, Лист1!A397,Лист2!$B$2:$B$505,Лист1!B397)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2">
      <c r="A398" s="9">
        <v>43983</v>
      </c>
      <c r="B398" s="4" t="s">
        <v>11</v>
      </c>
      <c r="C398" s="16">
        <v>77269.5</v>
      </c>
      <c r="D398" s="16">
        <v>6829921.5</v>
      </c>
      <c r="E398" s="5">
        <f>SUMIFS(Лист2!$C$2:$C$505,Лист2!$A$2:$A$505, Лист1!A398,Лист2!$B$2:$B$505,Лист1!B398)</f>
        <v>31</v>
      </c>
      <c r="F398" s="5">
        <f>SUMIFS(Лист2!$D$2:$D$505,Лист2!$A$2:$A$505, Лист1!A398,Лист2!$B$2:$B$505,Лист1!B398)</f>
        <v>5468</v>
      </c>
      <c r="G398" s="5">
        <f>SUMIFS(Лист2!$E$2:$E$505,Лист2!$A$2:$A$505, Лист1!A398,Лист2!$B$2:$B$505,Лист1!B398)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2">
      <c r="A399" s="10">
        <v>43982</v>
      </c>
      <c r="B399" s="6" t="s">
        <v>23</v>
      </c>
      <c r="C399" s="17">
        <v>16143</v>
      </c>
      <c r="D399" s="17">
        <v>1423410</v>
      </c>
      <c r="E399" s="5">
        <f>SUMIFS(Лист2!$C$2:$C$505,Лист2!$A$2:$A$505, Лист1!A399,Лист2!$B$2:$B$505,Лист1!B399)</f>
        <v>18</v>
      </c>
      <c r="F399" s="5">
        <f>SUMIFS(Лист2!$D$2:$D$505,Лист2!$A$2:$A$505, Лист1!A399,Лист2!$B$2:$B$505,Лист1!B399)</f>
        <v>1029</v>
      </c>
      <c r="G399" s="5">
        <f>SUMIFS(Лист2!$E$2:$E$505,Лист2!$A$2:$A$505, Лист1!A399,Лист2!$B$2:$B$505,Лист1!B399)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2">
      <c r="A400" s="9">
        <v>43962</v>
      </c>
      <c r="B400" s="4" t="s">
        <v>11</v>
      </c>
      <c r="C400" s="16">
        <v>72220.5</v>
      </c>
      <c r="D400" s="16">
        <v>6398719.5</v>
      </c>
      <c r="E400" s="5">
        <f>SUMIFS(Лист2!$C$2:$C$505,Лист2!$A$2:$A$505, Лист1!A400,Лист2!$B$2:$B$505,Лист1!B400)</f>
        <v>31</v>
      </c>
      <c r="F400" s="5">
        <f>SUMIFS(Лист2!$D$2:$D$505,Лист2!$A$2:$A$505, Лист1!A400,Лист2!$B$2:$B$505,Лист1!B400)</f>
        <v>4826</v>
      </c>
      <c r="G400" s="5">
        <f>SUMIFS(Лист2!$E$2:$E$505,Лист2!$A$2:$A$505, Лист1!A400,Лист2!$B$2:$B$505,Лист1!B400)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2">
      <c r="A401" s="10">
        <v>43969</v>
      </c>
      <c r="B401" s="6" t="s">
        <v>11</v>
      </c>
      <c r="C401" s="17">
        <v>78058.5</v>
      </c>
      <c r="D401" s="17">
        <v>6609714</v>
      </c>
      <c r="E401" s="5">
        <f>SUMIFS(Лист2!$C$2:$C$505,Лист2!$A$2:$A$505, Лист1!A401,Лист2!$B$2:$B$505,Лист1!B401)</f>
        <v>31</v>
      </c>
      <c r="F401" s="5">
        <f>SUMIFS(Лист2!$D$2:$D$505,Лист2!$A$2:$A$505, Лист1!A401,Лист2!$B$2:$B$505,Лист1!B401)</f>
        <v>5165</v>
      </c>
      <c r="G401" s="5">
        <f>SUMIFS(Лист2!$E$2:$E$505,Лист2!$A$2:$A$505, Лист1!A401,Лист2!$B$2:$B$505,Лист1!B401)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2">
      <c r="A402" s="9">
        <v>43965</v>
      </c>
      <c r="B402" s="4" t="s">
        <v>11</v>
      </c>
      <c r="C402" s="16">
        <v>70498.5</v>
      </c>
      <c r="D402" s="16">
        <v>6053649</v>
      </c>
      <c r="E402" s="5">
        <f>SUMIFS(Лист2!$C$2:$C$505,Лист2!$A$2:$A$505, Лист1!A402,Лист2!$B$2:$B$505,Лист1!B402)</f>
        <v>31</v>
      </c>
      <c r="F402" s="5">
        <f>SUMIFS(Лист2!$D$2:$D$505,Лист2!$A$2:$A$505, Лист1!A402,Лист2!$B$2:$B$505,Лист1!B402)</f>
        <v>4695</v>
      </c>
      <c r="G402" s="5">
        <f>SUMIFS(Лист2!$E$2:$E$505,Лист2!$A$2:$A$505, Лист1!A402,Лист2!$B$2:$B$505,Лист1!B402)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2">
      <c r="A403" s="10">
        <v>43966</v>
      </c>
      <c r="B403" s="6" t="s">
        <v>11</v>
      </c>
      <c r="C403" s="17">
        <v>78961.5</v>
      </c>
      <c r="D403" s="17">
        <v>6876454.5</v>
      </c>
      <c r="E403" s="5">
        <f>SUMIFS(Лист2!$C$2:$C$505,Лист2!$A$2:$A$505, Лист1!A403,Лист2!$B$2:$B$505,Лист1!B403)</f>
        <v>31</v>
      </c>
      <c r="F403" s="5">
        <f>SUMIFS(Лист2!$D$2:$D$505,Лист2!$A$2:$A$505, Лист1!A403,Лист2!$B$2:$B$505,Лист1!B403)</f>
        <v>5184</v>
      </c>
      <c r="G403" s="5">
        <f>SUMIFS(Лист2!$E$2:$E$505,Лист2!$A$2:$A$505, Лист1!A403,Лист2!$B$2:$B$505,Лист1!B403)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2">
      <c r="A404" s="9">
        <v>43978</v>
      </c>
      <c r="B404" s="4" t="s">
        <v>12</v>
      </c>
      <c r="C404" s="16">
        <v>12490.5</v>
      </c>
      <c r="D404" s="16">
        <v>1054798.5</v>
      </c>
      <c r="E404" s="5">
        <f>SUMIFS(Лист2!$C$2:$C$505,Лист2!$A$2:$A$505, Лист1!A404,Лист2!$B$2:$B$505,Лист1!B404)</f>
        <v>10</v>
      </c>
      <c r="F404" s="5">
        <f>SUMIFS(Лист2!$D$2:$D$505,Лист2!$A$2:$A$505, Лист1!A404,Лист2!$B$2:$B$505,Лист1!B404)</f>
        <v>757</v>
      </c>
      <c r="G404" s="5">
        <f>SUMIFS(Лист2!$E$2:$E$505,Лист2!$A$2:$A$505, Лист1!A404,Лист2!$B$2:$B$505,Лист1!B404)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2">
      <c r="A405" s="10">
        <v>43973</v>
      </c>
      <c r="B405" s="6" t="s">
        <v>12</v>
      </c>
      <c r="C405" s="17">
        <v>18036</v>
      </c>
      <c r="D405" s="17">
        <v>1455049.5</v>
      </c>
      <c r="E405" s="5">
        <f>SUMIFS(Лист2!$C$2:$C$505,Лист2!$A$2:$A$505, Лист1!A405,Лист2!$B$2:$B$505,Лист1!B405)</f>
        <v>10</v>
      </c>
      <c r="F405" s="5">
        <f>SUMIFS(Лист2!$D$2:$D$505,Лист2!$A$2:$A$505, Лист1!A405,Лист2!$B$2:$B$505,Лист1!B405)</f>
        <v>965</v>
      </c>
      <c r="G405" s="5">
        <f>SUMIFS(Лист2!$E$2:$E$505,Лист2!$A$2:$A$505, Лист1!A405,Лист2!$B$2:$B$505,Лист1!B405)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2">
      <c r="A406" s="9">
        <v>43983</v>
      </c>
      <c r="B406" s="4" t="s">
        <v>12</v>
      </c>
      <c r="C406" s="16">
        <v>11416.5</v>
      </c>
      <c r="D406" s="16">
        <v>1007742</v>
      </c>
      <c r="E406" s="5">
        <f>SUMIFS(Лист2!$C$2:$C$505,Лист2!$A$2:$A$505, Лист1!A406,Лист2!$B$2:$B$505,Лист1!B406)</f>
        <v>10</v>
      </c>
      <c r="F406" s="5">
        <f>SUMIFS(Лист2!$D$2:$D$505,Лист2!$A$2:$A$505, Лист1!A406,Лист2!$B$2:$B$505,Лист1!B406)</f>
        <v>719</v>
      </c>
      <c r="G406" s="5">
        <f>SUMIFS(Лист2!$E$2:$E$505,Лист2!$A$2:$A$505, Лист1!A406,Лист2!$B$2:$B$505,Лист1!B406)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2">
      <c r="A407" s="10">
        <v>43962</v>
      </c>
      <c r="B407" s="6" t="s">
        <v>12</v>
      </c>
      <c r="C407" s="17">
        <v>9007.5</v>
      </c>
      <c r="D407" s="17">
        <v>734335.5</v>
      </c>
      <c r="E407" s="5">
        <f>SUMIFS(Лист2!$C$2:$C$505,Лист2!$A$2:$A$505, Лист1!A407,Лист2!$B$2:$B$505,Лист1!B407)</f>
        <v>10</v>
      </c>
      <c r="F407" s="5">
        <f>SUMIFS(Лист2!$D$2:$D$505,Лист2!$A$2:$A$505, Лист1!A407,Лист2!$B$2:$B$505,Лист1!B407)</f>
        <v>494</v>
      </c>
      <c r="G407" s="5">
        <f>SUMIFS(Лист2!$E$2:$E$505,Лист2!$A$2:$A$505, Лист1!A407,Лист2!$B$2:$B$505,Лист1!B407)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2">
      <c r="A408" s="9">
        <v>43980</v>
      </c>
      <c r="B408" s="4" t="s">
        <v>11</v>
      </c>
      <c r="C408" s="16">
        <v>87552</v>
      </c>
      <c r="D408" s="16">
        <v>7387116</v>
      </c>
      <c r="E408" s="5">
        <f>SUMIFS(Лист2!$C$2:$C$505,Лист2!$A$2:$A$505, Лист1!A408,Лист2!$B$2:$B$505,Лист1!B408)</f>
        <v>31</v>
      </c>
      <c r="F408" s="5">
        <f>SUMIFS(Лист2!$D$2:$D$505,Лист2!$A$2:$A$505, Лист1!A408,Лист2!$B$2:$B$505,Лист1!B408)</f>
        <v>5751</v>
      </c>
      <c r="G408" s="5">
        <f>SUMIFS(Лист2!$E$2:$E$505,Лист2!$A$2:$A$505, Лист1!A408,Лист2!$B$2:$B$505,Лист1!B408)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2">
      <c r="A409" s="10">
        <v>43969</v>
      </c>
      <c r="B409" s="6" t="s">
        <v>12</v>
      </c>
      <c r="C409" s="17">
        <v>11680.5</v>
      </c>
      <c r="D409" s="17">
        <v>936427.5</v>
      </c>
      <c r="E409" s="5">
        <f>SUMIFS(Лист2!$C$2:$C$505,Лист2!$A$2:$A$505, Лист1!A409,Лист2!$B$2:$B$505,Лист1!B409)</f>
        <v>10</v>
      </c>
      <c r="F409" s="5">
        <f>SUMIFS(Лист2!$D$2:$D$505,Лист2!$A$2:$A$505, Лист1!A409,Лист2!$B$2:$B$505,Лист1!B409)</f>
        <v>645</v>
      </c>
      <c r="G409" s="5">
        <f>SUMIFS(Лист2!$E$2:$E$505,Лист2!$A$2:$A$505, Лист1!A409,Лист2!$B$2:$B$505,Лист1!B409)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2">
      <c r="A410" s="9">
        <v>43965</v>
      </c>
      <c r="B410" s="4" t="s">
        <v>12</v>
      </c>
      <c r="C410" s="16">
        <v>12037.5</v>
      </c>
      <c r="D410" s="16">
        <v>981564</v>
      </c>
      <c r="E410" s="5">
        <f>SUMIFS(Лист2!$C$2:$C$505,Лист2!$A$2:$A$505, Лист1!A410,Лист2!$B$2:$B$505,Лист1!B410)</f>
        <v>10</v>
      </c>
      <c r="F410" s="5">
        <f>SUMIFS(Лист2!$D$2:$D$505,Лист2!$A$2:$A$505, Лист1!A410,Лист2!$B$2:$B$505,Лист1!B410)</f>
        <v>627</v>
      </c>
      <c r="G410" s="5">
        <f>SUMIFS(Лист2!$E$2:$E$505,Лист2!$A$2:$A$505, Лист1!A410,Лист2!$B$2:$B$505,Лист1!B410)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2">
      <c r="A411" s="10">
        <v>43966</v>
      </c>
      <c r="B411" s="6" t="s">
        <v>12</v>
      </c>
      <c r="C411" s="17">
        <v>14421</v>
      </c>
      <c r="D411" s="17">
        <v>1150579.5</v>
      </c>
      <c r="E411" s="5">
        <f>SUMIFS(Лист2!$C$2:$C$505,Лист2!$A$2:$A$505, Лист1!A411,Лист2!$B$2:$B$505,Лист1!B411)</f>
        <v>10</v>
      </c>
      <c r="F411" s="5">
        <f>SUMIFS(Лист2!$D$2:$D$505,Лист2!$A$2:$A$505, Лист1!A411,Лист2!$B$2:$B$505,Лист1!B411)</f>
        <v>743</v>
      </c>
      <c r="G411" s="5">
        <f>SUMIFS(Лист2!$E$2:$E$505,Лист2!$A$2:$A$505, Лист1!A411,Лист2!$B$2:$B$505,Лист1!B411)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2">
      <c r="A412" s="9">
        <v>43980</v>
      </c>
      <c r="B412" s="4" t="s">
        <v>12</v>
      </c>
      <c r="C412" s="16">
        <v>14823</v>
      </c>
      <c r="D412" s="16">
        <v>1273464</v>
      </c>
      <c r="E412" s="5">
        <f>SUMIFS(Лист2!$C$2:$C$505,Лист2!$A$2:$A$505, Лист1!A412,Лист2!$B$2:$B$505,Лист1!B412)</f>
        <v>10</v>
      </c>
      <c r="F412" s="5">
        <f>SUMIFS(Лист2!$D$2:$D$505,Лист2!$A$2:$A$505, Лист1!A412,Лист2!$B$2:$B$505,Лист1!B412)</f>
        <v>873</v>
      </c>
      <c r="G412" s="5">
        <f>SUMIFS(Лист2!$E$2:$E$505,Лист2!$A$2:$A$505, Лист1!A412,Лист2!$B$2:$B$505,Лист1!B412)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2">
      <c r="A413" s="10">
        <v>43978</v>
      </c>
      <c r="B413" s="6" t="s">
        <v>13</v>
      </c>
      <c r="C413" s="17">
        <v>31257</v>
      </c>
      <c r="D413" s="17">
        <v>2924133</v>
      </c>
      <c r="E413" s="5">
        <f>SUMIFS(Лист2!$C$2:$C$505,Лист2!$A$2:$A$505, Лист1!A413,Лист2!$B$2:$B$505,Лист1!B413)</f>
        <v>20</v>
      </c>
      <c r="F413" s="5">
        <f>SUMIFS(Лист2!$D$2:$D$505,Лист2!$A$2:$A$505, Лист1!A413,Лист2!$B$2:$B$505,Лист1!B413)</f>
        <v>2079</v>
      </c>
      <c r="G413" s="5">
        <f>SUMIFS(Лист2!$E$2:$E$505,Лист2!$A$2:$A$505, Лист1!A413,Лист2!$B$2:$B$505,Лист1!B413)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2">
      <c r="A414" s="9">
        <v>43973</v>
      </c>
      <c r="B414" s="4" t="s">
        <v>13</v>
      </c>
      <c r="C414" s="16">
        <v>38074.5</v>
      </c>
      <c r="D414" s="16">
        <v>3414180</v>
      </c>
      <c r="E414" s="5">
        <f>SUMIFS(Лист2!$C$2:$C$505,Лист2!$A$2:$A$505, Лист1!A414,Лист2!$B$2:$B$505,Лист1!B414)</f>
        <v>20</v>
      </c>
      <c r="F414" s="5">
        <f>SUMIFS(Лист2!$D$2:$D$505,Лист2!$A$2:$A$505, Лист1!A414,Лист2!$B$2:$B$505,Лист1!B414)</f>
        <v>2306</v>
      </c>
      <c r="G414" s="5">
        <f>SUMIFS(Лист2!$E$2:$E$505,Лист2!$A$2:$A$505, Лист1!A414,Лист2!$B$2:$B$505,Лист1!B414)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2">
      <c r="A415" s="10">
        <v>43983</v>
      </c>
      <c r="B415" s="6" t="s">
        <v>13</v>
      </c>
      <c r="C415" s="17">
        <v>32170.5</v>
      </c>
      <c r="D415" s="17">
        <v>3013512</v>
      </c>
      <c r="E415" s="5">
        <f>SUMIFS(Лист2!$C$2:$C$505,Лист2!$A$2:$A$505, Лист1!A415,Лист2!$B$2:$B$505,Лист1!B415)</f>
        <v>20</v>
      </c>
      <c r="F415" s="5">
        <f>SUMIFS(Лист2!$D$2:$D$505,Лист2!$A$2:$A$505, Лист1!A415,Лист2!$B$2:$B$505,Лист1!B415)</f>
        <v>2136</v>
      </c>
      <c r="G415" s="5">
        <f>SUMIFS(Лист2!$E$2:$E$505,Лист2!$A$2:$A$505, Лист1!A415,Лист2!$B$2:$B$505,Лист1!B415)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2">
      <c r="A416" s="9">
        <v>43962</v>
      </c>
      <c r="B416" s="4" t="s">
        <v>13</v>
      </c>
      <c r="C416" s="16">
        <v>42397.5</v>
      </c>
      <c r="D416" s="16">
        <v>3911979</v>
      </c>
      <c r="E416" s="5">
        <f>SUMIFS(Лист2!$C$2:$C$505,Лист2!$A$2:$A$505, Лист1!A416,Лист2!$B$2:$B$505,Лист1!B416)</f>
        <v>19</v>
      </c>
      <c r="F416" s="5">
        <f>SUMIFS(Лист2!$D$2:$D$505,Лист2!$A$2:$A$505, Лист1!A416,Лист2!$B$2:$B$505,Лист1!B416)</f>
        <v>2530</v>
      </c>
      <c r="G416" s="5">
        <f>SUMIFS(Лист2!$E$2:$E$505,Лист2!$A$2:$A$505, Лист1!A416,Лист2!$B$2:$B$505,Лист1!B416)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2">
      <c r="A417" s="10">
        <v>43969</v>
      </c>
      <c r="B417" s="6" t="s">
        <v>13</v>
      </c>
      <c r="C417" s="17">
        <v>28668</v>
      </c>
      <c r="D417" s="17">
        <v>2588148</v>
      </c>
      <c r="E417" s="5">
        <f>SUMIFS(Лист2!$C$2:$C$505,Лист2!$A$2:$A$505, Лист1!A417,Лист2!$B$2:$B$505,Лист1!B417)</f>
        <v>19</v>
      </c>
      <c r="F417" s="5">
        <f>SUMIFS(Лист2!$D$2:$D$505,Лист2!$A$2:$A$505, Лист1!A417,Лист2!$B$2:$B$505,Лист1!B417)</f>
        <v>1858</v>
      </c>
      <c r="G417" s="5">
        <f>SUMIFS(Лист2!$E$2:$E$505,Лист2!$A$2:$A$505, Лист1!A417,Лист2!$B$2:$B$505,Лист1!B417)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2">
      <c r="A418" s="9">
        <v>43965</v>
      </c>
      <c r="B418" s="4" t="s">
        <v>13</v>
      </c>
      <c r="C418" s="16">
        <v>27411</v>
      </c>
      <c r="D418" s="16">
        <v>2441520</v>
      </c>
      <c r="E418" s="5">
        <f>SUMIFS(Лист2!$C$2:$C$505,Лист2!$A$2:$A$505, Лист1!A418,Лист2!$B$2:$B$505,Лист1!B418)</f>
        <v>19</v>
      </c>
      <c r="F418" s="5">
        <f>SUMIFS(Лист2!$D$2:$D$505,Лист2!$A$2:$A$505, Лист1!A418,Лист2!$B$2:$B$505,Лист1!B418)</f>
        <v>1675</v>
      </c>
      <c r="G418" s="5">
        <f>SUMIFS(Лист2!$E$2:$E$505,Лист2!$A$2:$A$505, Лист1!A418,Лист2!$B$2:$B$505,Лист1!B418)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2">
      <c r="A419" s="10">
        <v>43966</v>
      </c>
      <c r="B419" s="6" t="s">
        <v>13</v>
      </c>
      <c r="C419" s="17">
        <v>32854.5</v>
      </c>
      <c r="D419" s="17">
        <v>2949078</v>
      </c>
      <c r="E419" s="5">
        <f>SUMIFS(Лист2!$C$2:$C$505,Лист2!$A$2:$A$505, Лист1!A419,Лист2!$B$2:$B$505,Лист1!B419)</f>
        <v>19</v>
      </c>
      <c r="F419" s="5">
        <f>SUMIFS(Лист2!$D$2:$D$505,Лист2!$A$2:$A$505, Лист1!A419,Лист2!$B$2:$B$505,Лист1!B419)</f>
        <v>1940</v>
      </c>
      <c r="G419" s="5">
        <f>SUMIFS(Лист2!$E$2:$E$505,Лист2!$A$2:$A$505, Лист1!A419,Лист2!$B$2:$B$505,Лист1!B419)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2">
      <c r="A420" s="9">
        <v>43980</v>
      </c>
      <c r="B420" s="4" t="s">
        <v>13</v>
      </c>
      <c r="C420" s="16">
        <v>35346</v>
      </c>
      <c r="D420" s="16">
        <v>3258054</v>
      </c>
      <c r="E420" s="5">
        <f>SUMIFS(Лист2!$C$2:$C$505,Лист2!$A$2:$A$505, Лист1!A420,Лист2!$B$2:$B$505,Лист1!B420)</f>
        <v>20</v>
      </c>
      <c r="F420" s="5">
        <f>SUMIFS(Лист2!$D$2:$D$505,Лист2!$A$2:$A$505, Лист1!A420,Лист2!$B$2:$B$505,Лист1!B420)</f>
        <v>2249</v>
      </c>
      <c r="G420" s="5">
        <f>SUMIFS(Лист2!$E$2:$E$505,Лист2!$A$2:$A$505, Лист1!A420,Лист2!$B$2:$B$505,Лист1!B420)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2">
      <c r="A421" s="10">
        <v>43978</v>
      </c>
      <c r="B421" s="6" t="s">
        <v>14</v>
      </c>
      <c r="C421" s="17">
        <v>286558.5</v>
      </c>
      <c r="D421" s="17">
        <v>29256993</v>
      </c>
      <c r="E421" s="5">
        <f>SUMIFS(Лист2!$C$2:$C$505,Лист2!$A$2:$A$505, Лист1!A421,Лист2!$B$2:$B$505,Лист1!B421)</f>
        <v>129</v>
      </c>
      <c r="F421" s="5">
        <f>SUMIFS(Лист2!$D$2:$D$505,Лист2!$A$2:$A$505, Лист1!A421,Лист2!$B$2:$B$505,Лист1!B421)</f>
        <v>17115</v>
      </c>
      <c r="G421" s="5">
        <f>SUMIFS(Лист2!$E$2:$E$505,Лист2!$A$2:$A$505, Лист1!A421,Лист2!$B$2:$B$505,Лист1!B421)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2">
      <c r="A422" s="9">
        <v>43973</v>
      </c>
      <c r="B422" s="4" t="s">
        <v>14</v>
      </c>
      <c r="C422" s="16">
        <v>304092</v>
      </c>
      <c r="D422" s="16">
        <v>29465769</v>
      </c>
      <c r="E422" s="5">
        <f>SUMIFS(Лист2!$C$2:$C$505,Лист2!$A$2:$A$505, Лист1!A422,Лист2!$B$2:$B$505,Лист1!B422)</f>
        <v>129</v>
      </c>
      <c r="F422" s="5">
        <f>SUMIFS(Лист2!$D$2:$D$505,Лист2!$A$2:$A$505, Лист1!A422,Лист2!$B$2:$B$505,Лист1!B422)</f>
        <v>17088</v>
      </c>
      <c r="G422" s="5">
        <f>SUMIFS(Лист2!$E$2:$E$505,Лист2!$A$2:$A$505, Лист1!A422,Лист2!$B$2:$B$505,Лист1!B422)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2">
      <c r="A423" s="10">
        <v>43983</v>
      </c>
      <c r="B423" s="6" t="s">
        <v>14</v>
      </c>
      <c r="C423" s="17">
        <v>272926.5</v>
      </c>
      <c r="D423" s="17">
        <v>27770092.5</v>
      </c>
      <c r="E423" s="5">
        <f>SUMIFS(Лист2!$C$2:$C$505,Лист2!$A$2:$A$505, Лист1!A423,Лист2!$B$2:$B$505,Лист1!B423)</f>
        <v>128</v>
      </c>
      <c r="F423" s="5">
        <f>SUMIFS(Лист2!$D$2:$D$505,Лист2!$A$2:$A$505, Лист1!A423,Лист2!$B$2:$B$505,Лист1!B423)</f>
        <v>16285</v>
      </c>
      <c r="G423" s="5">
        <f>SUMIFS(Лист2!$E$2:$E$505,Лист2!$A$2:$A$505, Лист1!A423,Лист2!$B$2:$B$505,Лист1!B423)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2">
      <c r="A424" s="9">
        <v>43962</v>
      </c>
      <c r="B424" s="4" t="s">
        <v>14</v>
      </c>
      <c r="C424" s="16">
        <v>237099</v>
      </c>
      <c r="D424" s="16">
        <v>24628233.223949999</v>
      </c>
      <c r="E424" s="5">
        <f>SUMIFS(Лист2!$C$2:$C$505,Лист2!$A$2:$A$505, Лист1!A424,Лист2!$B$2:$B$505,Лист1!B424)</f>
        <v>129</v>
      </c>
      <c r="F424" s="5">
        <f>SUMIFS(Лист2!$D$2:$D$505,Лист2!$A$2:$A$505, Лист1!A424,Лист2!$B$2:$B$505,Лист1!B424)</f>
        <v>14043</v>
      </c>
      <c r="G424" s="5">
        <f>SUMIFS(Лист2!$E$2:$E$505,Лист2!$A$2:$A$505, Лист1!A424,Лист2!$B$2:$B$505,Лист1!B424)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2">
      <c r="A425" s="10">
        <v>43969</v>
      </c>
      <c r="B425" s="6" t="s">
        <v>14</v>
      </c>
      <c r="C425" s="17">
        <v>273900</v>
      </c>
      <c r="D425" s="17">
        <v>27535284.147600003</v>
      </c>
      <c r="E425" s="5">
        <f>SUMIFS(Лист2!$C$2:$C$505,Лист2!$A$2:$A$505, Лист1!A425,Лист2!$B$2:$B$505,Лист1!B425)</f>
        <v>129</v>
      </c>
      <c r="F425" s="5">
        <f>SUMIFS(Лист2!$D$2:$D$505,Лист2!$A$2:$A$505, Лист1!A425,Лист2!$B$2:$B$505,Лист1!B425)</f>
        <v>16110</v>
      </c>
      <c r="G425" s="5">
        <f>SUMIFS(Лист2!$E$2:$E$505,Лист2!$A$2:$A$505, Лист1!A425,Лист2!$B$2:$B$505,Лист1!B425)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2">
      <c r="A426" s="9">
        <v>43965</v>
      </c>
      <c r="B426" s="4" t="s">
        <v>14</v>
      </c>
      <c r="C426" s="16">
        <v>274059</v>
      </c>
      <c r="D426" s="16">
        <v>28181292</v>
      </c>
      <c r="E426" s="5">
        <f>SUMIFS(Лист2!$C$2:$C$505,Лист2!$A$2:$A$505, Лист1!A426,Лист2!$B$2:$B$505,Лист1!B426)</f>
        <v>129</v>
      </c>
      <c r="F426" s="5">
        <f>SUMIFS(Лист2!$D$2:$D$505,Лист2!$A$2:$A$505, Лист1!A426,Лист2!$B$2:$B$505,Лист1!B426)</f>
        <v>15804</v>
      </c>
      <c r="G426" s="5">
        <f>SUMIFS(Лист2!$E$2:$E$505,Лист2!$A$2:$A$505, Лист1!A426,Лист2!$B$2:$B$505,Лист1!B426)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2">
      <c r="A427" s="10">
        <v>43966</v>
      </c>
      <c r="B427" s="6" t="s">
        <v>14</v>
      </c>
      <c r="C427" s="17">
        <v>318816</v>
      </c>
      <c r="D427" s="17">
        <v>32354331</v>
      </c>
      <c r="E427" s="5">
        <f>SUMIFS(Лист2!$C$2:$C$505,Лист2!$A$2:$A$505, Лист1!A427,Лист2!$B$2:$B$505,Лист1!B427)</f>
        <v>129</v>
      </c>
      <c r="F427" s="5">
        <f>SUMIFS(Лист2!$D$2:$D$505,Лист2!$A$2:$A$505, Лист1!A427,Лист2!$B$2:$B$505,Лист1!B427)</f>
        <v>17808</v>
      </c>
      <c r="G427" s="5">
        <f>SUMIFS(Лист2!$E$2:$E$505,Лист2!$A$2:$A$505, Лист1!A427,Лист2!$B$2:$B$505,Лист1!B427)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2">
      <c r="A428" s="9">
        <v>43978</v>
      </c>
      <c r="B428" s="4" t="s">
        <v>15</v>
      </c>
      <c r="C428" s="16">
        <v>370012.5</v>
      </c>
      <c r="D428" s="16">
        <v>39034861.5</v>
      </c>
      <c r="E428" s="5">
        <f>SUMIFS(Лист2!$C$2:$C$505,Лист2!$A$2:$A$505, Лист1!A428,Лист2!$B$2:$B$505,Лист1!B428)</f>
        <v>124</v>
      </c>
      <c r="F428" s="5">
        <f>SUMIFS(Лист2!$D$2:$D$505,Лист2!$A$2:$A$505, Лист1!A428,Лист2!$B$2:$B$505,Лист1!B428)</f>
        <v>21384</v>
      </c>
      <c r="G428" s="5">
        <f>SUMIFS(Лист2!$E$2:$E$505,Лист2!$A$2:$A$505, Лист1!A428,Лист2!$B$2:$B$505,Лист1!B428)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2">
      <c r="A429" s="10">
        <v>43973</v>
      </c>
      <c r="B429" s="6" t="s">
        <v>15</v>
      </c>
      <c r="C429" s="17">
        <v>393018</v>
      </c>
      <c r="D429" s="17">
        <v>39498373.5</v>
      </c>
      <c r="E429" s="5">
        <f>SUMIFS(Лист2!$C$2:$C$505,Лист2!$A$2:$A$505, Лист1!A429,Лист2!$B$2:$B$505,Лист1!B429)</f>
        <v>125</v>
      </c>
      <c r="F429" s="5">
        <f>SUMIFS(Лист2!$D$2:$D$505,Лист2!$A$2:$A$505, Лист1!A429,Лист2!$B$2:$B$505,Лист1!B429)</f>
        <v>21427</v>
      </c>
      <c r="G429" s="5">
        <f>SUMIFS(Лист2!$E$2:$E$505,Лист2!$A$2:$A$505, Лист1!A429,Лист2!$B$2:$B$505,Лист1!B429)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2">
      <c r="A430" s="9">
        <v>43983</v>
      </c>
      <c r="B430" s="4" t="s">
        <v>15</v>
      </c>
      <c r="C430" s="16">
        <v>349699.5</v>
      </c>
      <c r="D430" s="16">
        <v>37257840.18135</v>
      </c>
      <c r="E430" s="5">
        <f>SUMIFS(Лист2!$C$2:$C$505,Лист2!$A$2:$A$505, Лист1!A430,Лист2!$B$2:$B$505,Лист1!B430)</f>
        <v>123</v>
      </c>
      <c r="F430" s="5">
        <f>SUMIFS(Лист2!$D$2:$D$505,Лист2!$A$2:$A$505, Лист1!A430,Лист2!$B$2:$B$505,Лист1!B430)</f>
        <v>20325</v>
      </c>
      <c r="G430" s="5">
        <f>SUMIFS(Лист2!$E$2:$E$505,Лист2!$A$2:$A$505, Лист1!A430,Лист2!$B$2:$B$505,Лист1!B430)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2">
      <c r="A431" s="10">
        <v>43962</v>
      </c>
      <c r="B431" s="6" t="s">
        <v>15</v>
      </c>
      <c r="C431" s="17">
        <v>318565.5</v>
      </c>
      <c r="D431" s="17">
        <v>33781581</v>
      </c>
      <c r="E431" s="5">
        <f>SUMIFS(Лист2!$C$2:$C$505,Лист2!$A$2:$A$505, Лист1!A431,Лист2!$B$2:$B$505,Лист1!B431)</f>
        <v>125</v>
      </c>
      <c r="F431" s="5">
        <f>SUMIFS(Лист2!$D$2:$D$505,Лист2!$A$2:$A$505, Лист1!A431,Лист2!$B$2:$B$505,Лист1!B431)</f>
        <v>18066</v>
      </c>
      <c r="G431" s="5">
        <f>SUMIFS(Лист2!$E$2:$E$505,Лист2!$A$2:$A$505, Лист1!A431,Лист2!$B$2:$B$505,Лист1!B431)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2">
      <c r="A432" s="9">
        <v>43980</v>
      </c>
      <c r="B432" s="4" t="s">
        <v>14</v>
      </c>
      <c r="C432" s="16">
        <v>422965.5</v>
      </c>
      <c r="D432" s="16">
        <v>41767140.105000004</v>
      </c>
      <c r="E432" s="5">
        <f>SUMIFS(Лист2!$C$2:$C$505,Лист2!$A$2:$A$505, Лист1!A432,Лист2!$B$2:$B$505,Лист1!B432)</f>
        <v>129</v>
      </c>
      <c r="F432" s="5">
        <f>SUMIFS(Лист2!$D$2:$D$505,Лист2!$A$2:$A$505, Лист1!A432,Лист2!$B$2:$B$505,Лист1!B432)</f>
        <v>22403</v>
      </c>
      <c r="G432" s="5">
        <f>SUMIFS(Лист2!$E$2:$E$505,Лист2!$A$2:$A$505, Лист1!A432,Лист2!$B$2:$B$505,Лист1!B432)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2">
      <c r="A433" s="10">
        <v>43969</v>
      </c>
      <c r="B433" s="6" t="s">
        <v>15</v>
      </c>
      <c r="C433" s="17">
        <v>355081.5</v>
      </c>
      <c r="D433" s="17">
        <v>36876888</v>
      </c>
      <c r="E433" s="5">
        <f>SUMIFS(Лист2!$C$2:$C$505,Лист2!$A$2:$A$505, Лист1!A433,Лист2!$B$2:$B$505,Лист1!B433)</f>
        <v>125</v>
      </c>
      <c r="F433" s="5">
        <f>SUMIFS(Лист2!$D$2:$D$505,Лист2!$A$2:$A$505, Лист1!A433,Лист2!$B$2:$B$505,Лист1!B433)</f>
        <v>20449</v>
      </c>
      <c r="G433" s="5">
        <f>SUMIFS(Лист2!$E$2:$E$505,Лист2!$A$2:$A$505, Лист1!A433,Лист2!$B$2:$B$505,Лист1!B433)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2">
      <c r="A434" s="9">
        <v>43965</v>
      </c>
      <c r="B434" s="4" t="s">
        <v>15</v>
      </c>
      <c r="C434" s="16">
        <v>358387.5</v>
      </c>
      <c r="D434" s="16">
        <v>37963150.5</v>
      </c>
      <c r="E434" s="5">
        <f>SUMIFS(Лист2!$C$2:$C$505,Лист2!$A$2:$A$505, Лист1!A434,Лист2!$B$2:$B$505,Лист1!B434)</f>
        <v>125</v>
      </c>
      <c r="F434" s="5">
        <f>SUMIFS(Лист2!$D$2:$D$505,Лист2!$A$2:$A$505, Лист1!A434,Лист2!$B$2:$B$505,Лист1!B434)</f>
        <v>20247</v>
      </c>
      <c r="G434" s="5">
        <f>SUMIFS(Лист2!$E$2:$E$505,Лист2!$A$2:$A$505, Лист1!A434,Лист2!$B$2:$B$505,Лист1!B434)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2">
      <c r="A435" s="10">
        <v>43966</v>
      </c>
      <c r="B435" s="6" t="s">
        <v>15</v>
      </c>
      <c r="C435" s="17">
        <v>403261.5</v>
      </c>
      <c r="D435" s="17">
        <v>42271377</v>
      </c>
      <c r="E435" s="5">
        <f>SUMIFS(Лист2!$C$2:$C$505,Лист2!$A$2:$A$505, Лист1!A435,Лист2!$B$2:$B$505,Лист1!B435)</f>
        <v>125</v>
      </c>
      <c r="F435" s="5">
        <f>SUMIFS(Лист2!$D$2:$D$505,Лист2!$A$2:$A$505, Лист1!A435,Лист2!$B$2:$B$505,Лист1!B435)</f>
        <v>21862</v>
      </c>
      <c r="G435" s="5">
        <f>SUMIFS(Лист2!$E$2:$E$505,Лист2!$A$2:$A$505, Лист1!A435,Лист2!$B$2:$B$505,Лист1!B435)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2">
      <c r="A436" s="9">
        <v>43978</v>
      </c>
      <c r="B436" s="4" t="s">
        <v>16</v>
      </c>
      <c r="C436" s="16">
        <v>69010.5</v>
      </c>
      <c r="D436" s="16">
        <v>5985894</v>
      </c>
      <c r="E436" s="5">
        <f>SUMIFS(Лист2!$C$2:$C$505,Лист2!$A$2:$A$505, Лист1!A436,Лист2!$B$2:$B$505,Лист1!B436)</f>
        <v>36</v>
      </c>
      <c r="F436" s="5">
        <f>SUMIFS(Лист2!$D$2:$D$505,Лист2!$A$2:$A$505, Лист1!A436,Лист2!$B$2:$B$505,Лист1!B436)</f>
        <v>4951</v>
      </c>
      <c r="G436" s="5">
        <f>SUMIFS(Лист2!$E$2:$E$505,Лист2!$A$2:$A$505, Лист1!A436,Лист2!$B$2:$B$505,Лист1!B436)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2">
      <c r="A437" s="10">
        <v>43973</v>
      </c>
      <c r="B437" s="6" t="s">
        <v>16</v>
      </c>
      <c r="C437" s="17">
        <v>75820.5</v>
      </c>
      <c r="D437" s="17">
        <v>5943489</v>
      </c>
      <c r="E437" s="5">
        <f>SUMIFS(Лист2!$C$2:$C$505,Лист2!$A$2:$A$505, Лист1!A437,Лист2!$B$2:$B$505,Лист1!B437)</f>
        <v>36</v>
      </c>
      <c r="F437" s="5">
        <f>SUMIFS(Лист2!$D$2:$D$505,Лист2!$A$2:$A$505, Лист1!A437,Лист2!$B$2:$B$505,Лист1!B437)</f>
        <v>4857</v>
      </c>
      <c r="G437" s="5">
        <f>SUMIFS(Лист2!$E$2:$E$505,Лист2!$A$2:$A$505, Лист1!A437,Лист2!$B$2:$B$505,Лист1!B437)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2">
      <c r="A438" s="9">
        <v>43983</v>
      </c>
      <c r="B438" s="4" t="s">
        <v>16</v>
      </c>
      <c r="C438" s="16">
        <v>64740</v>
      </c>
      <c r="D438" s="16">
        <v>5800290</v>
      </c>
      <c r="E438" s="5">
        <f>SUMIFS(Лист2!$C$2:$C$505,Лист2!$A$2:$A$505, Лист1!A438,Лист2!$B$2:$B$505,Лист1!B438)</f>
        <v>37</v>
      </c>
      <c r="F438" s="5">
        <f>SUMIFS(Лист2!$D$2:$D$505,Лист2!$A$2:$A$505, Лист1!A438,Лист2!$B$2:$B$505,Лист1!B438)</f>
        <v>4722</v>
      </c>
      <c r="G438" s="5">
        <f>SUMIFS(Лист2!$E$2:$E$505,Лист2!$A$2:$A$505, Лист1!A438,Лист2!$B$2:$B$505,Лист1!B438)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2">
      <c r="A439" s="10">
        <v>43962</v>
      </c>
      <c r="B439" s="6" t="s">
        <v>16</v>
      </c>
      <c r="C439" s="17">
        <v>59574</v>
      </c>
      <c r="D439" s="17">
        <v>5178169.5</v>
      </c>
      <c r="E439" s="5">
        <f>SUMIFS(Лист2!$C$2:$C$505,Лист2!$A$2:$A$505, Лист1!A439,Лист2!$B$2:$B$505,Лист1!B439)</f>
        <v>36</v>
      </c>
      <c r="F439" s="5">
        <f>SUMIFS(Лист2!$D$2:$D$505,Лист2!$A$2:$A$505, Лист1!A439,Лист2!$B$2:$B$505,Лист1!B439)</f>
        <v>4150</v>
      </c>
      <c r="G439" s="5">
        <f>SUMIFS(Лист2!$E$2:$E$505,Лист2!$A$2:$A$505, Лист1!A439,Лист2!$B$2:$B$505,Лист1!B439)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2">
      <c r="A440" s="9">
        <v>43980</v>
      </c>
      <c r="B440" s="4" t="s">
        <v>15</v>
      </c>
      <c r="C440" s="16">
        <v>524481</v>
      </c>
      <c r="D440" s="16">
        <v>54172029</v>
      </c>
      <c r="E440" s="5">
        <f>SUMIFS(Лист2!$C$2:$C$505,Лист2!$A$2:$A$505, Лист1!A440,Лист2!$B$2:$B$505,Лист1!B440)</f>
        <v>124</v>
      </c>
      <c r="F440" s="5">
        <f>SUMIFS(Лист2!$D$2:$D$505,Лист2!$A$2:$A$505, Лист1!A440,Лист2!$B$2:$B$505,Лист1!B440)</f>
        <v>25828</v>
      </c>
      <c r="G440" s="5">
        <f>SUMIFS(Лист2!$E$2:$E$505,Лист2!$A$2:$A$505, Лист1!A440,Лист2!$B$2:$B$505,Лист1!B440)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2">
      <c r="A441" s="10">
        <v>43969</v>
      </c>
      <c r="B441" s="6" t="s">
        <v>16</v>
      </c>
      <c r="C441" s="17">
        <v>70278</v>
      </c>
      <c r="D441" s="17">
        <v>5798476.5</v>
      </c>
      <c r="E441" s="5">
        <f>SUMIFS(Лист2!$C$2:$C$505,Лист2!$A$2:$A$505, Лист1!A441,Лист2!$B$2:$B$505,Лист1!B441)</f>
        <v>36</v>
      </c>
      <c r="F441" s="5">
        <f>SUMIFS(Лист2!$D$2:$D$505,Лист2!$A$2:$A$505, Лист1!A441,Лист2!$B$2:$B$505,Лист1!B441)</f>
        <v>4885</v>
      </c>
      <c r="G441" s="5">
        <f>SUMIFS(Лист2!$E$2:$E$505,Лист2!$A$2:$A$505, Лист1!A441,Лист2!$B$2:$B$505,Лист1!B441)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2">
      <c r="A442" s="9">
        <v>43965</v>
      </c>
      <c r="B442" s="4" t="s">
        <v>16</v>
      </c>
      <c r="C442" s="16">
        <v>63645</v>
      </c>
      <c r="D442" s="16">
        <v>5366602.5</v>
      </c>
      <c r="E442" s="5">
        <f>SUMIFS(Лист2!$C$2:$C$505,Лист2!$A$2:$A$505, Лист1!A442,Лист2!$B$2:$B$505,Лист1!B442)</f>
        <v>36</v>
      </c>
      <c r="F442" s="5">
        <f>SUMIFS(Лист2!$D$2:$D$505,Лист2!$A$2:$A$505, Лист1!A442,Лист2!$B$2:$B$505,Лист1!B442)</f>
        <v>4285</v>
      </c>
      <c r="G442" s="5">
        <f>SUMIFS(Лист2!$E$2:$E$505,Лист2!$A$2:$A$505, Лист1!A442,Лист2!$B$2:$B$505,Лист1!B442)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2">
      <c r="A443" s="10">
        <v>43966</v>
      </c>
      <c r="B443" s="6" t="s">
        <v>16</v>
      </c>
      <c r="C443" s="17">
        <v>75642</v>
      </c>
      <c r="D443" s="17">
        <v>6293952</v>
      </c>
      <c r="E443" s="5">
        <f>SUMIFS(Лист2!$C$2:$C$505,Лист2!$A$2:$A$505, Лист1!A443,Лист2!$B$2:$B$505,Лист1!B443)</f>
        <v>36</v>
      </c>
      <c r="F443" s="5">
        <f>SUMIFS(Лист2!$D$2:$D$505,Лист2!$A$2:$A$505, Лист1!A443,Лист2!$B$2:$B$505,Лист1!B443)</f>
        <v>4862</v>
      </c>
      <c r="G443" s="5">
        <f>SUMIFS(Лист2!$E$2:$E$505,Лист2!$A$2:$A$505, Лист1!A443,Лист2!$B$2:$B$505,Лист1!B443)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2">
      <c r="A444" s="9">
        <v>43978</v>
      </c>
      <c r="B444" s="4" t="s">
        <v>17</v>
      </c>
      <c r="C444" s="16">
        <v>40420.5</v>
      </c>
      <c r="D444" s="16">
        <v>3780852</v>
      </c>
      <c r="E444" s="5">
        <f>SUMIFS(Лист2!$C$2:$C$505,Лист2!$A$2:$A$505, Лист1!A444,Лист2!$B$2:$B$505,Лист1!B444)</f>
        <v>21</v>
      </c>
      <c r="F444" s="5">
        <f>SUMIFS(Лист2!$D$2:$D$505,Лист2!$A$2:$A$505, Лист1!A444,Лист2!$B$2:$B$505,Лист1!B444)</f>
        <v>2430</v>
      </c>
      <c r="G444" s="5">
        <f>SUMIFS(Лист2!$E$2:$E$505,Лист2!$A$2:$A$505, Лист1!A444,Лист2!$B$2:$B$505,Лист1!B444)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2">
      <c r="A445" s="10">
        <v>43973</v>
      </c>
      <c r="B445" s="6" t="s">
        <v>17</v>
      </c>
      <c r="C445" s="17">
        <v>53838</v>
      </c>
      <c r="D445" s="17">
        <v>4840833</v>
      </c>
      <c r="E445" s="5">
        <f>SUMIFS(Лист2!$C$2:$C$505,Лист2!$A$2:$A$505, Лист1!A445,Лист2!$B$2:$B$505,Лист1!B445)</f>
        <v>21</v>
      </c>
      <c r="F445" s="5">
        <f>SUMIFS(Лист2!$D$2:$D$505,Лист2!$A$2:$A$505, Лист1!A445,Лист2!$B$2:$B$505,Лист1!B445)</f>
        <v>2861</v>
      </c>
      <c r="G445" s="5">
        <f>SUMIFS(Лист2!$E$2:$E$505,Лист2!$A$2:$A$505, Лист1!A445,Лист2!$B$2:$B$505,Лист1!B445)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2">
      <c r="A446" s="9">
        <v>43983</v>
      </c>
      <c r="B446" s="4" t="s">
        <v>17</v>
      </c>
      <c r="C446" s="16">
        <v>40528.5</v>
      </c>
      <c r="D446" s="16">
        <v>3865251</v>
      </c>
      <c r="E446" s="5">
        <f>SUMIFS(Лист2!$C$2:$C$505,Лист2!$A$2:$A$505, Лист1!A446,Лист2!$B$2:$B$505,Лист1!B446)</f>
        <v>23</v>
      </c>
      <c r="F446" s="5">
        <f>SUMIFS(Лист2!$D$2:$D$505,Лист2!$A$2:$A$505, Лист1!A446,Лист2!$B$2:$B$505,Лист1!B446)</f>
        <v>2531</v>
      </c>
      <c r="G446" s="5">
        <f>SUMIFS(Лист2!$E$2:$E$505,Лист2!$A$2:$A$505, Лист1!A446,Лист2!$B$2:$B$505,Лист1!B446)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2">
      <c r="A447" s="10">
        <v>43962</v>
      </c>
      <c r="B447" s="6" t="s">
        <v>17</v>
      </c>
      <c r="C447" s="17">
        <v>32733</v>
      </c>
      <c r="D447" s="17">
        <v>3079630.5</v>
      </c>
      <c r="E447" s="5">
        <f>SUMIFS(Лист2!$C$2:$C$505,Лист2!$A$2:$A$505, Лист1!A447,Лист2!$B$2:$B$505,Лист1!B447)</f>
        <v>21</v>
      </c>
      <c r="F447" s="5">
        <f>SUMIFS(Лист2!$D$2:$D$505,Лист2!$A$2:$A$505, Лист1!A447,Лист2!$B$2:$B$505,Лист1!B447)</f>
        <v>1916</v>
      </c>
      <c r="G447" s="5">
        <f>SUMIFS(Лист2!$E$2:$E$505,Лист2!$A$2:$A$505, Лист1!A447,Лист2!$B$2:$B$505,Лист1!B447)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2">
      <c r="A448" s="9">
        <v>43980</v>
      </c>
      <c r="B448" s="4" t="s">
        <v>16</v>
      </c>
      <c r="C448" s="16">
        <v>84433.5</v>
      </c>
      <c r="D448" s="16">
        <v>7228395</v>
      </c>
      <c r="E448" s="5">
        <f>SUMIFS(Лист2!$C$2:$C$505,Лист2!$A$2:$A$505, Лист1!A448,Лист2!$B$2:$B$505,Лист1!B448)</f>
        <v>37</v>
      </c>
      <c r="F448" s="5">
        <f>SUMIFS(Лист2!$D$2:$D$505,Лист2!$A$2:$A$505, Лист1!A448,Лист2!$B$2:$B$505,Лист1!B448)</f>
        <v>5672</v>
      </c>
      <c r="G448" s="5">
        <f>SUMIFS(Лист2!$E$2:$E$505,Лист2!$A$2:$A$505, Лист1!A448,Лист2!$B$2:$B$505,Лист1!B448)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2">
      <c r="A449" s="10">
        <v>43969</v>
      </c>
      <c r="B449" s="6" t="s">
        <v>17</v>
      </c>
      <c r="C449" s="17">
        <v>36655.5</v>
      </c>
      <c r="D449" s="17">
        <v>3360135</v>
      </c>
      <c r="E449" s="5">
        <f>SUMIFS(Лист2!$C$2:$C$505,Лист2!$A$2:$A$505, Лист1!A449,Лист2!$B$2:$B$505,Лист1!B449)</f>
        <v>21</v>
      </c>
      <c r="F449" s="5">
        <f>SUMIFS(Лист2!$D$2:$D$505,Лист2!$A$2:$A$505, Лист1!A449,Лист2!$B$2:$B$505,Лист1!B449)</f>
        <v>2136</v>
      </c>
      <c r="G449" s="5">
        <f>SUMIFS(Лист2!$E$2:$E$505,Лист2!$A$2:$A$505, Лист1!A449,Лист2!$B$2:$B$505,Лист1!B449)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2">
      <c r="A450" s="9">
        <v>43965</v>
      </c>
      <c r="B450" s="4" t="s">
        <v>17</v>
      </c>
      <c r="C450" s="16">
        <v>33886.5</v>
      </c>
      <c r="D450" s="16">
        <v>3166479</v>
      </c>
      <c r="E450" s="5">
        <f>SUMIFS(Лист2!$C$2:$C$505,Лист2!$A$2:$A$505, Лист1!A450,Лист2!$B$2:$B$505,Лист1!B450)</f>
        <v>21</v>
      </c>
      <c r="F450" s="5">
        <f>SUMIFS(Лист2!$D$2:$D$505,Лист2!$A$2:$A$505, Лист1!A450,Лист2!$B$2:$B$505,Лист1!B450)</f>
        <v>1993</v>
      </c>
      <c r="G450" s="5">
        <f>SUMIFS(Лист2!$E$2:$E$505,Лист2!$A$2:$A$505, Лист1!A450,Лист2!$B$2:$B$505,Лист1!B450)</f>
        <v>1796</v>
      </c>
      <c r="H450">
        <f t="shared" ref="H450:H505" si="14">D450 / E450</f>
        <v>150784.71428571429</v>
      </c>
      <c r="I450">
        <f t="shared" si="13"/>
        <v>20</v>
      </c>
    </row>
    <row r="451" spans="1:9" ht="14.25" customHeight="1" x14ac:dyDescent="0.2">
      <c r="A451" s="10">
        <v>43966</v>
      </c>
      <c r="B451" s="6" t="s">
        <v>17</v>
      </c>
      <c r="C451" s="17">
        <v>41697</v>
      </c>
      <c r="D451" s="17">
        <v>3772258.5</v>
      </c>
      <c r="E451" s="5">
        <f>SUMIFS(Лист2!$C$2:$C$505,Лист2!$A$2:$A$505, Лист1!A451,Лист2!$B$2:$B$505,Лист1!B451)</f>
        <v>21</v>
      </c>
      <c r="F451" s="5">
        <f>SUMIFS(Лист2!$D$2:$D$505,Лист2!$A$2:$A$505, Лист1!A451,Лист2!$B$2:$B$505,Лист1!B451)</f>
        <v>2255</v>
      </c>
      <c r="G451" s="5">
        <f>SUMIFS(Лист2!$E$2:$E$505,Лист2!$A$2:$A$505, Лист1!A451,Лист2!$B$2:$B$505,Лист1!B451)</f>
        <v>2045</v>
      </c>
      <c r="H451">
        <f t="shared" si="14"/>
        <v>179631.35714285713</v>
      </c>
      <c r="I451">
        <f t="shared" ref="I451:I505" si="15">WEEKNUM(A451,2)</f>
        <v>20</v>
      </c>
    </row>
    <row r="452" spans="1:9" ht="14.25" customHeight="1" x14ac:dyDescent="0.2">
      <c r="A452" s="9">
        <v>43980</v>
      </c>
      <c r="B452" s="4" t="s">
        <v>17</v>
      </c>
      <c r="C452" s="16">
        <v>44569.5</v>
      </c>
      <c r="D452" s="16">
        <v>4108596</v>
      </c>
      <c r="E452" s="5">
        <f>SUMIFS(Лист2!$C$2:$C$505,Лист2!$A$2:$A$505, Лист1!A452,Лист2!$B$2:$B$505,Лист1!B452)</f>
        <v>22</v>
      </c>
      <c r="F452" s="5">
        <f>SUMIFS(Лист2!$D$2:$D$505,Лист2!$A$2:$A$505, Лист1!A452,Лист2!$B$2:$B$505,Лист1!B452)</f>
        <v>2597</v>
      </c>
      <c r="G452" s="5">
        <f>SUMIFS(Лист2!$E$2:$E$505,Лист2!$A$2:$A$505, Лист1!A452,Лист2!$B$2:$B$505,Лист1!B452)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2">
      <c r="A453" s="10">
        <v>43978</v>
      </c>
      <c r="B453" s="6" t="s">
        <v>18</v>
      </c>
      <c r="C453" s="17">
        <v>18069</v>
      </c>
      <c r="D453" s="17">
        <v>1603084.5</v>
      </c>
      <c r="E453" s="5">
        <f>SUMIFS(Лист2!$C$2:$C$505,Лист2!$A$2:$A$505, Лист1!A453,Лист2!$B$2:$B$505,Лист1!B453)</f>
        <v>17</v>
      </c>
      <c r="F453" s="5">
        <f>SUMIFS(Лист2!$D$2:$D$505,Лист2!$A$2:$A$505, Лист1!A453,Лист2!$B$2:$B$505,Лист1!B453)</f>
        <v>1203</v>
      </c>
      <c r="G453" s="5">
        <f>SUMIFS(Лист2!$E$2:$E$505,Лист2!$A$2:$A$505, Лист1!A453,Лист2!$B$2:$B$505,Лист1!B453)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2">
      <c r="A454" s="9">
        <v>43973</v>
      </c>
      <c r="B454" s="4" t="s">
        <v>18</v>
      </c>
      <c r="C454" s="16">
        <v>21483</v>
      </c>
      <c r="D454" s="16">
        <v>1774329</v>
      </c>
      <c r="E454" s="5">
        <f>SUMIFS(Лист2!$C$2:$C$505,Лист2!$A$2:$A$505, Лист1!A454,Лист2!$B$2:$B$505,Лист1!B454)</f>
        <v>17</v>
      </c>
      <c r="F454" s="5">
        <f>SUMIFS(Лист2!$D$2:$D$505,Лист2!$A$2:$A$505, Лист1!A454,Лист2!$B$2:$B$505,Лист1!B454)</f>
        <v>1268</v>
      </c>
      <c r="G454" s="5">
        <f>SUMIFS(Лист2!$E$2:$E$505,Лист2!$A$2:$A$505, Лист1!A454,Лист2!$B$2:$B$505,Лист1!B454)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2">
      <c r="A455" s="10">
        <v>43983</v>
      </c>
      <c r="B455" s="6" t="s">
        <v>18</v>
      </c>
      <c r="C455" s="17">
        <v>16687.5</v>
      </c>
      <c r="D455" s="17">
        <v>1526608.5</v>
      </c>
      <c r="E455" s="5">
        <f>SUMIFS(Лист2!$C$2:$C$505,Лист2!$A$2:$A$505, Лист1!A455,Лист2!$B$2:$B$505,Лист1!B455)</f>
        <v>17</v>
      </c>
      <c r="F455" s="5">
        <f>SUMIFS(Лист2!$D$2:$D$505,Лист2!$A$2:$A$505, Лист1!A455,Лист2!$B$2:$B$505,Лист1!B455)</f>
        <v>1185</v>
      </c>
      <c r="G455" s="5">
        <f>SUMIFS(Лист2!$E$2:$E$505,Лист2!$A$2:$A$505, Лист1!A455,Лист2!$B$2:$B$505,Лист1!B455)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2">
      <c r="A456" s="9">
        <v>43962</v>
      </c>
      <c r="B456" s="4" t="s">
        <v>18</v>
      </c>
      <c r="C456" s="16">
        <v>12238.5</v>
      </c>
      <c r="D456" s="16">
        <v>1096002</v>
      </c>
      <c r="E456" s="5">
        <f>SUMIFS(Лист2!$C$2:$C$505,Лист2!$A$2:$A$505, Лист1!A456,Лист2!$B$2:$B$505,Лист1!B456)</f>
        <v>15</v>
      </c>
      <c r="F456" s="5">
        <f>SUMIFS(Лист2!$D$2:$D$505,Лист2!$A$2:$A$505, Лист1!A456,Лист2!$B$2:$B$505,Лист1!B456)</f>
        <v>812</v>
      </c>
      <c r="G456" s="5">
        <f>SUMIFS(Лист2!$E$2:$E$505,Лист2!$A$2:$A$505, Лист1!A456,Лист2!$B$2:$B$505,Лист1!B456)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2">
      <c r="A457" s="10">
        <v>43969</v>
      </c>
      <c r="B457" s="6" t="s">
        <v>18</v>
      </c>
      <c r="C457" s="17">
        <v>14290.5</v>
      </c>
      <c r="D457" s="17">
        <v>1246162.5</v>
      </c>
      <c r="E457" s="5">
        <f>SUMIFS(Лист2!$C$2:$C$505,Лист2!$A$2:$A$505, Лист1!A457,Лист2!$B$2:$B$505,Лист1!B457)</f>
        <v>16</v>
      </c>
      <c r="F457" s="5">
        <f>SUMIFS(Лист2!$D$2:$D$505,Лист2!$A$2:$A$505, Лист1!A457,Лист2!$B$2:$B$505,Лист1!B457)</f>
        <v>925</v>
      </c>
      <c r="G457" s="5">
        <f>SUMIFS(Лист2!$E$2:$E$505,Лист2!$A$2:$A$505, Лист1!A457,Лист2!$B$2:$B$505,Лист1!B457)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2">
      <c r="A458" s="9">
        <v>43965</v>
      </c>
      <c r="B458" s="4" t="s">
        <v>18</v>
      </c>
      <c r="C458" s="16">
        <v>14385</v>
      </c>
      <c r="D458" s="16">
        <v>1223491.5</v>
      </c>
      <c r="E458" s="5">
        <f>SUMIFS(Лист2!$C$2:$C$505,Лист2!$A$2:$A$505, Лист1!A458,Лист2!$B$2:$B$505,Лист1!B458)</f>
        <v>15</v>
      </c>
      <c r="F458" s="5">
        <f>SUMIFS(Лист2!$D$2:$D$505,Лист2!$A$2:$A$505, Лист1!A458,Лист2!$B$2:$B$505,Лист1!B458)</f>
        <v>890</v>
      </c>
      <c r="G458" s="5">
        <f>SUMIFS(Лист2!$E$2:$E$505,Лист2!$A$2:$A$505, Лист1!A458,Лист2!$B$2:$B$505,Лист1!B458)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2">
      <c r="A459" s="10">
        <v>43966</v>
      </c>
      <c r="B459" s="6" t="s">
        <v>18</v>
      </c>
      <c r="C459" s="17">
        <v>16498.5</v>
      </c>
      <c r="D459" s="17">
        <v>1370482.5</v>
      </c>
      <c r="E459" s="5">
        <f>SUMIFS(Лист2!$C$2:$C$505,Лист2!$A$2:$A$505, Лист1!A459,Лист2!$B$2:$B$505,Лист1!B459)</f>
        <v>15</v>
      </c>
      <c r="F459" s="5">
        <f>SUMIFS(Лист2!$D$2:$D$505,Лист2!$A$2:$A$505, Лист1!A459,Лист2!$B$2:$B$505,Лист1!B459)</f>
        <v>980</v>
      </c>
      <c r="G459" s="5">
        <f>SUMIFS(Лист2!$E$2:$E$505,Лист2!$A$2:$A$505, Лист1!A459,Лист2!$B$2:$B$505,Лист1!B459)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2">
      <c r="A460" s="9">
        <v>43978</v>
      </c>
      <c r="B460" s="4" t="s">
        <v>19</v>
      </c>
      <c r="C460" s="16">
        <v>13203</v>
      </c>
      <c r="D460" s="16">
        <v>1211457</v>
      </c>
      <c r="E460" s="5">
        <f>SUMIFS(Лист2!$C$2:$C$505,Лист2!$A$2:$A$505, Лист1!A460,Лист2!$B$2:$B$505,Лист1!B460)</f>
        <v>15</v>
      </c>
      <c r="F460" s="5">
        <f>SUMIFS(Лист2!$D$2:$D$505,Лист2!$A$2:$A$505, Лист1!A460,Лист2!$B$2:$B$505,Лист1!B460)</f>
        <v>809</v>
      </c>
      <c r="G460" s="5">
        <f>SUMIFS(Лист2!$E$2:$E$505,Лист2!$A$2:$A$505, Лист1!A460,Лист2!$B$2:$B$505,Лист1!B460)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2">
      <c r="A461" s="10">
        <v>43973</v>
      </c>
      <c r="B461" s="6" t="s">
        <v>19</v>
      </c>
      <c r="C461" s="17">
        <v>15802.5</v>
      </c>
      <c r="D461" s="17">
        <v>1411909.5</v>
      </c>
      <c r="E461" s="5">
        <f>SUMIFS(Лист2!$C$2:$C$505,Лист2!$A$2:$A$505, Лист1!A461,Лист2!$B$2:$B$505,Лист1!B461)</f>
        <v>15</v>
      </c>
      <c r="F461" s="5">
        <f>SUMIFS(Лист2!$D$2:$D$505,Лист2!$A$2:$A$505, Лист1!A461,Лист2!$B$2:$B$505,Лист1!B461)</f>
        <v>903</v>
      </c>
      <c r="G461" s="5">
        <f>SUMIFS(Лист2!$E$2:$E$505,Лист2!$A$2:$A$505, Лист1!A461,Лист2!$B$2:$B$505,Лист1!B461)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2">
      <c r="A462" s="9">
        <v>43983</v>
      </c>
      <c r="B462" s="4" t="s">
        <v>19</v>
      </c>
      <c r="C462" s="16">
        <v>16476</v>
      </c>
      <c r="D462" s="16">
        <v>1565632.5</v>
      </c>
      <c r="E462" s="5">
        <f>SUMIFS(Лист2!$C$2:$C$505,Лист2!$A$2:$A$505, Лист1!A462,Лист2!$B$2:$B$505,Лист1!B462)</f>
        <v>16</v>
      </c>
      <c r="F462" s="5">
        <f>SUMIFS(Лист2!$D$2:$D$505,Лист2!$A$2:$A$505, Лист1!A462,Лист2!$B$2:$B$505,Лист1!B462)</f>
        <v>1019</v>
      </c>
      <c r="G462" s="5">
        <f>SUMIFS(Лист2!$E$2:$E$505,Лист2!$A$2:$A$505, Лист1!A462,Лист2!$B$2:$B$505,Лист1!B462)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2">
      <c r="A463" s="10">
        <v>43962</v>
      </c>
      <c r="B463" s="6" t="s">
        <v>19</v>
      </c>
      <c r="C463" s="17">
        <v>12654</v>
      </c>
      <c r="D463" s="17">
        <v>1081158</v>
      </c>
      <c r="E463" s="5">
        <f>SUMIFS(Лист2!$C$2:$C$505,Лист2!$A$2:$A$505, Лист1!A463,Лист2!$B$2:$B$505,Лист1!B463)</f>
        <v>15</v>
      </c>
      <c r="F463" s="5">
        <f>SUMIFS(Лист2!$D$2:$D$505,Лист2!$A$2:$A$505, Лист1!A463,Лист2!$B$2:$B$505,Лист1!B463)</f>
        <v>684</v>
      </c>
      <c r="G463" s="5">
        <f>SUMIFS(Лист2!$E$2:$E$505,Лист2!$A$2:$A$505, Лист1!A463,Лист2!$B$2:$B$505,Лист1!B463)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2">
      <c r="A464" s="9">
        <v>43980</v>
      </c>
      <c r="B464" s="4" t="s">
        <v>18</v>
      </c>
      <c r="C464" s="16">
        <v>19647</v>
      </c>
      <c r="D464" s="16">
        <v>1764669</v>
      </c>
      <c r="E464" s="5">
        <f>SUMIFS(Лист2!$C$2:$C$505,Лист2!$A$2:$A$505, Лист1!A464,Лист2!$B$2:$B$505,Лист1!B464)</f>
        <v>17</v>
      </c>
      <c r="F464" s="5">
        <f>SUMIFS(Лист2!$D$2:$D$505,Лист2!$A$2:$A$505, Лист1!A464,Лист2!$B$2:$B$505,Лист1!B464)</f>
        <v>1296</v>
      </c>
      <c r="G464" s="5">
        <f>SUMIFS(Лист2!$E$2:$E$505,Лист2!$A$2:$A$505, Лист1!A464,Лист2!$B$2:$B$505,Лист1!B464)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2">
      <c r="A465" s="10">
        <v>43969</v>
      </c>
      <c r="B465" s="6" t="s">
        <v>19</v>
      </c>
      <c r="C465" s="17">
        <v>12450</v>
      </c>
      <c r="D465" s="17">
        <v>1115146.5</v>
      </c>
      <c r="E465" s="5">
        <f>SUMIFS(Лист2!$C$2:$C$505,Лист2!$A$2:$A$505, Лист1!A465,Лист2!$B$2:$B$505,Лист1!B465)</f>
        <v>15</v>
      </c>
      <c r="F465" s="5">
        <f>SUMIFS(Лист2!$D$2:$D$505,Лист2!$A$2:$A$505, Лист1!A465,Лист2!$B$2:$B$505,Лист1!B465)</f>
        <v>729</v>
      </c>
      <c r="G465" s="5">
        <f>SUMIFS(Лист2!$E$2:$E$505,Лист2!$A$2:$A$505, Лист1!A465,Лист2!$B$2:$B$505,Лист1!B465)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2">
      <c r="A466" s="9">
        <v>43965</v>
      </c>
      <c r="B466" s="4" t="s">
        <v>19</v>
      </c>
      <c r="C466" s="16">
        <v>11161.5</v>
      </c>
      <c r="D466" s="16">
        <v>963502.5</v>
      </c>
      <c r="E466" s="5">
        <f>SUMIFS(Лист2!$C$2:$C$505,Лист2!$A$2:$A$505, Лист1!A466,Лист2!$B$2:$B$505,Лист1!B466)</f>
        <v>15</v>
      </c>
      <c r="F466" s="5">
        <f>SUMIFS(Лист2!$D$2:$D$505,Лист2!$A$2:$A$505, Лист1!A466,Лист2!$B$2:$B$505,Лист1!B466)</f>
        <v>638</v>
      </c>
      <c r="G466" s="5">
        <f>SUMIFS(Лист2!$E$2:$E$505,Лист2!$A$2:$A$505, Лист1!A466,Лист2!$B$2:$B$505,Лист1!B466)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2">
      <c r="A467" s="10">
        <v>43966</v>
      </c>
      <c r="B467" s="6" t="s">
        <v>19</v>
      </c>
      <c r="C467" s="17">
        <v>12229.5</v>
      </c>
      <c r="D467" s="17">
        <v>1122730.5</v>
      </c>
      <c r="E467" s="5">
        <f>SUMIFS(Лист2!$C$2:$C$505,Лист2!$A$2:$A$505, Лист1!A467,Лист2!$B$2:$B$505,Лист1!B467)</f>
        <v>15</v>
      </c>
      <c r="F467" s="5">
        <f>SUMIFS(Лист2!$D$2:$D$505,Лист2!$A$2:$A$505, Лист1!A467,Лист2!$B$2:$B$505,Лист1!B467)</f>
        <v>688</v>
      </c>
      <c r="G467" s="5">
        <f>SUMIFS(Лист2!$E$2:$E$505,Лист2!$A$2:$A$505, Лист1!A467,Лист2!$B$2:$B$505,Лист1!B467)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2">
      <c r="A468" s="9">
        <v>43978</v>
      </c>
      <c r="B468" s="4" t="s">
        <v>20</v>
      </c>
      <c r="C468" s="16">
        <v>28050</v>
      </c>
      <c r="D468" s="16">
        <v>2458555.5</v>
      </c>
      <c r="E468" s="5">
        <f>SUMIFS(Лист2!$C$2:$C$505,Лист2!$A$2:$A$505, Лист1!A468,Лист2!$B$2:$B$505,Лист1!B468)</f>
        <v>20</v>
      </c>
      <c r="F468" s="5">
        <f>SUMIFS(Лист2!$D$2:$D$505,Лист2!$A$2:$A$505, Лист1!A468,Лист2!$B$2:$B$505,Лист1!B468)</f>
        <v>1873</v>
      </c>
      <c r="G468" s="5">
        <f>SUMIFS(Лист2!$E$2:$E$505,Лист2!$A$2:$A$505, Лист1!A468,Лист2!$B$2:$B$505,Лист1!B468)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2">
      <c r="A469" s="10">
        <v>43973</v>
      </c>
      <c r="B469" s="6" t="s">
        <v>20</v>
      </c>
      <c r="C469" s="17">
        <v>30781.5</v>
      </c>
      <c r="D469" s="17">
        <v>2540715</v>
      </c>
      <c r="E469" s="5">
        <f>SUMIFS(Лист2!$C$2:$C$505,Лист2!$A$2:$A$505, Лист1!A469,Лист2!$B$2:$B$505,Лист1!B469)</f>
        <v>19</v>
      </c>
      <c r="F469" s="5">
        <f>SUMIFS(Лист2!$D$2:$D$505,Лист2!$A$2:$A$505, Лист1!A469,Лист2!$B$2:$B$505,Лист1!B469)</f>
        <v>1859</v>
      </c>
      <c r="G469" s="5">
        <f>SUMIFS(Лист2!$E$2:$E$505,Лист2!$A$2:$A$505, Лист1!A469,Лист2!$B$2:$B$505,Лист1!B469)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2">
      <c r="A470" s="9">
        <v>43983</v>
      </c>
      <c r="B470" s="4" t="s">
        <v>20</v>
      </c>
      <c r="C470" s="16">
        <v>27960</v>
      </c>
      <c r="D470" s="16">
        <v>2538967.5</v>
      </c>
      <c r="E470" s="5">
        <f>SUMIFS(Лист2!$C$2:$C$505,Лист2!$A$2:$A$505, Лист1!A470,Лист2!$B$2:$B$505,Лист1!B470)</f>
        <v>21</v>
      </c>
      <c r="F470" s="5">
        <f>SUMIFS(Лист2!$D$2:$D$505,Лист2!$A$2:$A$505, Лист1!A470,Лист2!$B$2:$B$505,Лист1!B470)</f>
        <v>1879</v>
      </c>
      <c r="G470" s="5">
        <f>SUMIFS(Лист2!$E$2:$E$505,Лист2!$A$2:$A$505, Лист1!A470,Лист2!$B$2:$B$505,Лист1!B470)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2">
      <c r="A471" s="10">
        <v>43962</v>
      </c>
      <c r="B471" s="6" t="s">
        <v>20</v>
      </c>
      <c r="C471" s="17">
        <v>23629.5</v>
      </c>
      <c r="D471" s="17">
        <v>2164365</v>
      </c>
      <c r="E471" s="5">
        <f>SUMIFS(Лист2!$C$2:$C$505,Лист2!$A$2:$A$505, Лист1!A471,Лист2!$B$2:$B$505,Лист1!B471)</f>
        <v>19</v>
      </c>
      <c r="F471" s="5">
        <f>SUMIFS(Лист2!$D$2:$D$505,Лист2!$A$2:$A$505, Лист1!A471,Лист2!$B$2:$B$505,Лист1!B471)</f>
        <v>1527</v>
      </c>
      <c r="G471" s="5">
        <f>SUMIFS(Лист2!$E$2:$E$505,Лист2!$A$2:$A$505, Лист1!A471,Лист2!$B$2:$B$505,Лист1!B471)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2">
      <c r="A472" s="9">
        <v>43980</v>
      </c>
      <c r="B472" s="4" t="s">
        <v>19</v>
      </c>
      <c r="C472" s="16">
        <v>17052</v>
      </c>
      <c r="D472" s="16">
        <v>1549020</v>
      </c>
      <c r="E472" s="5">
        <f>SUMIFS(Лист2!$C$2:$C$505,Лист2!$A$2:$A$505, Лист1!A472,Лист2!$B$2:$B$505,Лист1!B472)</f>
        <v>16</v>
      </c>
      <c r="F472" s="5">
        <f>SUMIFS(Лист2!$D$2:$D$505,Лист2!$A$2:$A$505, Лист1!A472,Лист2!$B$2:$B$505,Лист1!B472)</f>
        <v>981</v>
      </c>
      <c r="G472" s="5">
        <f>SUMIFS(Лист2!$E$2:$E$505,Лист2!$A$2:$A$505, Лист1!A472,Лист2!$B$2:$B$505,Лист1!B472)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2">
      <c r="A473" s="10">
        <v>43969</v>
      </c>
      <c r="B473" s="6" t="s">
        <v>20</v>
      </c>
      <c r="C473" s="17">
        <v>27181.5</v>
      </c>
      <c r="D473" s="17">
        <v>2324490</v>
      </c>
      <c r="E473" s="5">
        <f>SUMIFS(Лист2!$C$2:$C$505,Лист2!$A$2:$A$505, Лист1!A473,Лист2!$B$2:$B$505,Лист1!B473)</f>
        <v>19</v>
      </c>
      <c r="F473" s="5">
        <f>SUMIFS(Лист2!$D$2:$D$505,Лист2!$A$2:$A$505, Лист1!A473,Лист2!$B$2:$B$505,Лист1!B473)</f>
        <v>1741</v>
      </c>
      <c r="G473" s="5">
        <f>SUMIFS(Лист2!$E$2:$E$505,Лист2!$A$2:$A$505, Лист1!A473,Лист2!$B$2:$B$505,Лист1!B473)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2">
      <c r="A474" s="9">
        <v>43965</v>
      </c>
      <c r="B474" s="4" t="s">
        <v>20</v>
      </c>
      <c r="C474" s="16">
        <v>25656</v>
      </c>
      <c r="D474" s="16">
        <v>2225341.5</v>
      </c>
      <c r="E474" s="5">
        <f>SUMIFS(Лист2!$C$2:$C$505,Лист2!$A$2:$A$505, Лист1!A474,Лист2!$B$2:$B$505,Лист1!B474)</f>
        <v>19</v>
      </c>
      <c r="F474" s="5">
        <f>SUMIFS(Лист2!$D$2:$D$505,Лист2!$A$2:$A$505, Лист1!A474,Лист2!$B$2:$B$505,Лист1!B474)</f>
        <v>1635</v>
      </c>
      <c r="G474" s="5">
        <f>SUMIFS(Лист2!$E$2:$E$505,Лист2!$A$2:$A$505, Лист1!A474,Лист2!$B$2:$B$505,Лист1!B474)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2">
      <c r="A475" s="10">
        <v>43966</v>
      </c>
      <c r="B475" s="6" t="s">
        <v>20</v>
      </c>
      <c r="C475" s="17">
        <v>29283</v>
      </c>
      <c r="D475" s="17">
        <v>2477487</v>
      </c>
      <c r="E475" s="5">
        <f>SUMIFS(Лист2!$C$2:$C$505,Лист2!$A$2:$A$505, Лист1!A475,Лист2!$B$2:$B$505,Лист1!B475)</f>
        <v>19</v>
      </c>
      <c r="F475" s="5">
        <f>SUMIFS(Лист2!$D$2:$D$505,Лист2!$A$2:$A$505, Лист1!A475,Лист2!$B$2:$B$505,Лист1!B475)</f>
        <v>1780</v>
      </c>
      <c r="G475" s="5">
        <f>SUMIFS(Лист2!$E$2:$E$505,Лист2!$A$2:$A$505, Лист1!A475,Лист2!$B$2:$B$505,Лист1!B475)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2">
      <c r="A476" s="9">
        <v>43980</v>
      </c>
      <c r="B476" s="4" t="s">
        <v>20</v>
      </c>
      <c r="C476" s="16">
        <v>32782.5</v>
      </c>
      <c r="D476" s="16">
        <v>2854741.5</v>
      </c>
      <c r="E476" s="5">
        <f>SUMIFS(Лист2!$C$2:$C$505,Лист2!$A$2:$A$505, Лист1!A476,Лист2!$B$2:$B$505,Лист1!B476)</f>
        <v>20</v>
      </c>
      <c r="F476" s="5">
        <f>SUMIFS(Лист2!$D$2:$D$505,Лист2!$A$2:$A$505, Лист1!A476,Лист2!$B$2:$B$505,Лист1!B476)</f>
        <v>2064</v>
      </c>
      <c r="G476" s="5">
        <f>SUMIFS(Лист2!$E$2:$E$505,Лист2!$A$2:$A$505, Лист1!A476,Лист2!$B$2:$B$505,Лист1!B476)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2">
      <c r="A477" s="10">
        <v>43978</v>
      </c>
      <c r="B477" s="6" t="s">
        <v>21</v>
      </c>
      <c r="C477" s="17">
        <v>215592</v>
      </c>
      <c r="D477" s="17">
        <v>22342300.5</v>
      </c>
      <c r="E477" s="5">
        <f>SUMIFS(Лист2!$C$2:$C$505,Лист2!$A$2:$A$505, Лист1!A477,Лист2!$B$2:$B$505,Лист1!B477)</f>
        <v>59</v>
      </c>
      <c r="F477" s="5">
        <f>SUMIFS(Лист2!$D$2:$D$505,Лист2!$A$2:$A$505, Лист1!A477,Лист2!$B$2:$B$505,Лист1!B477)</f>
        <v>13942</v>
      </c>
      <c r="G477" s="5">
        <f>SUMIFS(Лист2!$E$2:$E$505,Лист2!$A$2:$A$505, Лист1!A477,Лист2!$B$2:$B$505,Лист1!B477)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2">
      <c r="A478" s="9">
        <v>43973</v>
      </c>
      <c r="B478" s="4" t="s">
        <v>21</v>
      </c>
      <c r="C478" s="16">
        <v>228334.5</v>
      </c>
      <c r="D478" s="16">
        <v>22380772.5</v>
      </c>
      <c r="E478" s="5">
        <f>SUMIFS(Лист2!$C$2:$C$505,Лист2!$A$2:$A$505, Лист1!A478,Лист2!$B$2:$B$505,Лист1!B478)</f>
        <v>60</v>
      </c>
      <c r="F478" s="5">
        <f>SUMIFS(Лист2!$D$2:$D$505,Лист2!$A$2:$A$505, Лист1!A478,Лист2!$B$2:$B$505,Лист1!B478)</f>
        <v>14050</v>
      </c>
      <c r="G478" s="5">
        <f>SUMIFS(Лист2!$E$2:$E$505,Лист2!$A$2:$A$505, Лист1!A478,Лист2!$B$2:$B$505,Лист1!B478)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2">
      <c r="A479" s="10">
        <v>43983</v>
      </c>
      <c r="B479" s="6" t="s">
        <v>21</v>
      </c>
      <c r="C479" s="17">
        <v>188776.5</v>
      </c>
      <c r="D479" s="17">
        <v>19465372.5</v>
      </c>
      <c r="E479" s="5">
        <f>SUMIFS(Лист2!$C$2:$C$505,Лист2!$A$2:$A$505, Лист1!A479,Лист2!$B$2:$B$505,Лист1!B479)</f>
        <v>59</v>
      </c>
      <c r="F479" s="5">
        <f>SUMIFS(Лист2!$D$2:$D$505,Лист2!$A$2:$A$505, Лист1!A479,Лист2!$B$2:$B$505,Лист1!B479)</f>
        <v>12299</v>
      </c>
      <c r="G479" s="5">
        <f>SUMIFS(Лист2!$E$2:$E$505,Лист2!$A$2:$A$505, Лист1!A479,Лист2!$B$2:$B$505,Лист1!B479)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2">
      <c r="A480" s="9">
        <v>43962</v>
      </c>
      <c r="B480" s="4" t="s">
        <v>21</v>
      </c>
      <c r="C480" s="16">
        <v>175293</v>
      </c>
      <c r="D480" s="16">
        <v>17919144</v>
      </c>
      <c r="E480" s="5">
        <f>SUMIFS(Лист2!$C$2:$C$505,Лист2!$A$2:$A$505, Лист1!A480,Лист2!$B$2:$B$505,Лист1!B480)</f>
        <v>60</v>
      </c>
      <c r="F480" s="5">
        <f>SUMIFS(Лист2!$D$2:$D$505,Лист2!$A$2:$A$505, Лист1!A480,Лист2!$B$2:$B$505,Лист1!B480)</f>
        <v>11100</v>
      </c>
      <c r="G480" s="5">
        <f>SUMIFS(Лист2!$E$2:$E$505,Лист2!$A$2:$A$505, Лист1!A480,Лист2!$B$2:$B$505,Лист1!B480)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2">
      <c r="A481" s="10">
        <v>43969</v>
      </c>
      <c r="B481" s="6" t="s">
        <v>21</v>
      </c>
      <c r="C481" s="17">
        <v>201999</v>
      </c>
      <c r="D481" s="17">
        <v>20422435.5</v>
      </c>
      <c r="E481" s="5">
        <f>SUMIFS(Лист2!$C$2:$C$505,Лист2!$A$2:$A$505, Лист1!A481,Лист2!$B$2:$B$505,Лист1!B481)</f>
        <v>60</v>
      </c>
      <c r="F481" s="5">
        <f>SUMIFS(Лист2!$D$2:$D$505,Лист2!$A$2:$A$505, Лист1!A481,Лист2!$B$2:$B$505,Лист1!B481)</f>
        <v>12460</v>
      </c>
      <c r="G481" s="5">
        <f>SUMIFS(Лист2!$E$2:$E$505,Лист2!$A$2:$A$505, Лист1!A481,Лист2!$B$2:$B$505,Лист1!B481)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2">
      <c r="A482" s="9">
        <v>43965</v>
      </c>
      <c r="B482" s="4" t="s">
        <v>21</v>
      </c>
      <c r="C482" s="16">
        <v>197946</v>
      </c>
      <c r="D482" s="16">
        <v>19942435.5</v>
      </c>
      <c r="E482" s="5">
        <f>SUMIFS(Лист2!$C$2:$C$505,Лист2!$A$2:$A$505, Лист1!A482,Лист2!$B$2:$B$505,Лист1!B482)</f>
        <v>60</v>
      </c>
      <c r="F482" s="5">
        <f>SUMIFS(Лист2!$D$2:$D$505,Лист2!$A$2:$A$505, Лист1!A482,Лист2!$B$2:$B$505,Лист1!B482)</f>
        <v>11935</v>
      </c>
      <c r="G482" s="5">
        <f>SUMIFS(Лист2!$E$2:$E$505,Лист2!$A$2:$A$505, Лист1!A482,Лист2!$B$2:$B$505,Лист1!B482)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2">
      <c r="A483" s="10">
        <v>43966</v>
      </c>
      <c r="B483" s="6" t="s">
        <v>21</v>
      </c>
      <c r="C483" s="17">
        <v>230896.5</v>
      </c>
      <c r="D483" s="17">
        <v>23085222</v>
      </c>
      <c r="E483" s="5">
        <f>SUMIFS(Лист2!$C$2:$C$505,Лист2!$A$2:$A$505, Лист1!A483,Лист2!$B$2:$B$505,Лист1!B483)</f>
        <v>60</v>
      </c>
      <c r="F483" s="5">
        <f>SUMIFS(Лист2!$D$2:$D$505,Лист2!$A$2:$A$505, Лист1!A483,Лист2!$B$2:$B$505,Лист1!B483)</f>
        <v>13544</v>
      </c>
      <c r="G483" s="5">
        <f>SUMIFS(Лист2!$E$2:$E$505,Лист2!$A$2:$A$505, Лист1!A483,Лист2!$B$2:$B$505,Лист1!B483)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2">
      <c r="A484" s="9">
        <v>43978</v>
      </c>
      <c r="B484" s="4" t="s">
        <v>22</v>
      </c>
      <c r="C484" s="16">
        <v>203532</v>
      </c>
      <c r="D484" s="16">
        <v>20953324.5</v>
      </c>
      <c r="E484" s="5">
        <f>SUMIFS(Лист2!$C$2:$C$505,Лист2!$A$2:$A$505, Лист1!A484,Лист2!$B$2:$B$505,Лист1!B484)</f>
        <v>54</v>
      </c>
      <c r="F484" s="5">
        <f>SUMIFS(Лист2!$D$2:$D$505,Лист2!$A$2:$A$505, Лист1!A484,Лист2!$B$2:$B$505,Лист1!B484)</f>
        <v>13091</v>
      </c>
      <c r="G484" s="5">
        <f>SUMIFS(Лист2!$E$2:$E$505,Лист2!$A$2:$A$505, Лист1!A484,Лист2!$B$2:$B$505,Лист1!B484)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2">
      <c r="A485" s="10">
        <v>43973</v>
      </c>
      <c r="B485" s="6" t="s">
        <v>22</v>
      </c>
      <c r="C485" s="17">
        <v>214428</v>
      </c>
      <c r="D485" s="17">
        <v>20812585.5</v>
      </c>
      <c r="E485" s="5">
        <f>SUMIFS(Лист2!$C$2:$C$505,Лист2!$A$2:$A$505, Лист1!A485,Лист2!$B$2:$B$505,Лист1!B485)</f>
        <v>54</v>
      </c>
      <c r="F485" s="5">
        <f>SUMIFS(Лист2!$D$2:$D$505,Лист2!$A$2:$A$505, Лист1!A485,Лист2!$B$2:$B$505,Лист1!B485)</f>
        <v>13014</v>
      </c>
      <c r="G485" s="5">
        <f>SUMIFS(Лист2!$E$2:$E$505,Лист2!$A$2:$A$505, Лист1!A485,Лист2!$B$2:$B$505,Лист1!B485)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2">
      <c r="A486" s="9">
        <v>43983</v>
      </c>
      <c r="B486" s="4" t="s">
        <v>22</v>
      </c>
      <c r="C486" s="16">
        <v>183228</v>
      </c>
      <c r="D486" s="16">
        <v>18914194.5</v>
      </c>
      <c r="E486" s="5">
        <f>SUMIFS(Лист2!$C$2:$C$505,Лист2!$A$2:$A$505, Лист1!A486,Лист2!$B$2:$B$505,Лист1!B486)</f>
        <v>54</v>
      </c>
      <c r="F486" s="5">
        <f>SUMIFS(Лист2!$D$2:$D$505,Лист2!$A$2:$A$505, Лист1!A486,Лист2!$B$2:$B$505,Лист1!B486)</f>
        <v>11864</v>
      </c>
      <c r="G486" s="5">
        <f>SUMIFS(Лист2!$E$2:$E$505,Лист2!$A$2:$A$505, Лист1!A486,Лист2!$B$2:$B$505,Лист1!B486)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2">
      <c r="A487" s="10">
        <v>43962</v>
      </c>
      <c r="B487" s="6" t="s">
        <v>22</v>
      </c>
      <c r="C487" s="17">
        <v>166948.5</v>
      </c>
      <c r="D487" s="17">
        <v>16971231</v>
      </c>
      <c r="E487" s="5">
        <f>SUMIFS(Лист2!$C$2:$C$505,Лист2!$A$2:$A$505, Лист1!A487,Лист2!$B$2:$B$505,Лист1!B487)</f>
        <v>54</v>
      </c>
      <c r="F487" s="5">
        <f>SUMIFS(Лист2!$D$2:$D$505,Лист2!$A$2:$A$505, Лист1!A487,Лист2!$B$2:$B$505,Лист1!B487)</f>
        <v>10570</v>
      </c>
      <c r="G487" s="5">
        <f>SUMIFS(Лист2!$E$2:$E$505,Лист2!$A$2:$A$505, Лист1!A487,Лист2!$B$2:$B$505,Лист1!B487)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2">
      <c r="A488" s="9">
        <v>43980</v>
      </c>
      <c r="B488" s="4" t="s">
        <v>21</v>
      </c>
      <c r="C488" s="16">
        <v>232102.5</v>
      </c>
      <c r="D488" s="16">
        <v>23120443.5</v>
      </c>
      <c r="E488" s="5">
        <f>SUMIFS(Лист2!$C$2:$C$505,Лист2!$A$2:$A$505, Лист1!A488,Лист2!$B$2:$B$505,Лист1!B488)</f>
        <v>59</v>
      </c>
      <c r="F488" s="5">
        <f>SUMIFS(Лист2!$D$2:$D$505,Лист2!$A$2:$A$505, Лист1!A488,Лист2!$B$2:$B$505,Лист1!B488)</f>
        <v>14507</v>
      </c>
      <c r="G488" s="5">
        <f>SUMIFS(Лист2!$E$2:$E$505,Лист2!$A$2:$A$505, Лист1!A488,Лист2!$B$2:$B$505,Лист1!B488)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2">
      <c r="A489" s="10">
        <v>43969</v>
      </c>
      <c r="B489" s="6" t="s">
        <v>22</v>
      </c>
      <c r="C489" s="17">
        <v>196560</v>
      </c>
      <c r="D489" s="17">
        <v>19855122</v>
      </c>
      <c r="E489" s="5">
        <f>SUMIFS(Лист2!$C$2:$C$505,Лист2!$A$2:$A$505, Лист1!A489,Лист2!$B$2:$B$505,Лист1!B489)</f>
        <v>54</v>
      </c>
      <c r="F489" s="5">
        <f>SUMIFS(Лист2!$D$2:$D$505,Лист2!$A$2:$A$505, Лист1!A489,Лист2!$B$2:$B$505,Лист1!B489)</f>
        <v>12012</v>
      </c>
      <c r="G489" s="5">
        <f>SUMIFS(Лист2!$E$2:$E$505,Лист2!$A$2:$A$505, Лист1!A489,Лист2!$B$2:$B$505,Лист1!B489)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2">
      <c r="A490" s="9">
        <v>43965</v>
      </c>
      <c r="B490" s="4" t="s">
        <v>22</v>
      </c>
      <c r="C490" s="16">
        <v>186496.5</v>
      </c>
      <c r="D490" s="16">
        <v>18640998</v>
      </c>
      <c r="E490" s="5">
        <f>SUMIFS(Лист2!$C$2:$C$505,Лист2!$A$2:$A$505, Лист1!A490,Лист2!$B$2:$B$505,Лист1!B490)</f>
        <v>54</v>
      </c>
      <c r="F490" s="5">
        <f>SUMIFS(Лист2!$D$2:$D$505,Лист2!$A$2:$A$505, Лист1!A490,Лист2!$B$2:$B$505,Лист1!B490)</f>
        <v>11194</v>
      </c>
      <c r="G490" s="5">
        <f>SUMIFS(Лист2!$E$2:$E$505,Лист2!$A$2:$A$505, Лист1!A490,Лист2!$B$2:$B$505,Лист1!B490)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2">
      <c r="A491" s="10">
        <v>43966</v>
      </c>
      <c r="B491" s="6" t="s">
        <v>22</v>
      </c>
      <c r="C491" s="17">
        <v>219772.5</v>
      </c>
      <c r="D491" s="17">
        <v>21895294.5</v>
      </c>
      <c r="E491" s="5">
        <f>SUMIFS(Лист2!$C$2:$C$505,Лист2!$A$2:$A$505, Лист1!A491,Лист2!$B$2:$B$505,Лист1!B491)</f>
        <v>54</v>
      </c>
      <c r="F491" s="5">
        <f>SUMIFS(Лист2!$D$2:$D$505,Лист2!$A$2:$A$505, Лист1!A491,Лист2!$B$2:$B$505,Лист1!B491)</f>
        <v>12791</v>
      </c>
      <c r="G491" s="5">
        <f>SUMIFS(Лист2!$E$2:$E$505,Лист2!$A$2:$A$505, Лист1!A491,Лист2!$B$2:$B$505,Лист1!B491)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2">
      <c r="A492" s="9">
        <v>43980</v>
      </c>
      <c r="B492" s="4" t="s">
        <v>22</v>
      </c>
      <c r="C492" s="16">
        <v>226476</v>
      </c>
      <c r="D492" s="16">
        <v>22416151.5</v>
      </c>
      <c r="E492" s="5">
        <f>SUMIFS(Лист2!$C$2:$C$505,Лист2!$A$2:$A$505, Лист1!A492,Лист2!$B$2:$B$505,Лист1!B492)</f>
        <v>54</v>
      </c>
      <c r="F492" s="5">
        <f>SUMIFS(Лист2!$D$2:$D$505,Лист2!$A$2:$A$505, Лист1!A492,Лист2!$B$2:$B$505,Лист1!B492)</f>
        <v>14031</v>
      </c>
      <c r="G492" s="5">
        <f>SUMIFS(Лист2!$E$2:$E$505,Лист2!$A$2:$A$505, Лист1!A492,Лист2!$B$2:$B$505,Лист1!B492)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2">
      <c r="A493" s="10">
        <v>43978</v>
      </c>
      <c r="B493" s="6" t="s">
        <v>24</v>
      </c>
      <c r="C493" s="17">
        <v>8362.5</v>
      </c>
      <c r="D493" s="17">
        <v>687684</v>
      </c>
      <c r="E493" s="5">
        <f>SUMIFS(Лист2!$C$2:$C$505,Лист2!$A$2:$A$505, Лист1!A493,Лист2!$B$2:$B$505,Лист1!B493)</f>
        <v>7</v>
      </c>
      <c r="F493" s="5">
        <f>SUMIFS(Лист2!$D$2:$D$505,Лист2!$A$2:$A$505, Лист1!A493,Лист2!$B$2:$B$505,Лист1!B493)</f>
        <v>409</v>
      </c>
      <c r="G493" s="5">
        <f>SUMIFS(Лист2!$E$2:$E$505,Лист2!$A$2:$A$505, Лист1!A493,Лист2!$B$2:$B$505,Лист1!B493)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2">
      <c r="A494" s="9">
        <v>43973</v>
      </c>
      <c r="B494" s="4" t="s">
        <v>23</v>
      </c>
      <c r="C494" s="16">
        <v>17008.5</v>
      </c>
      <c r="D494" s="16">
        <v>1398771</v>
      </c>
      <c r="E494" s="5">
        <f>SUMIFS(Лист2!$C$2:$C$505,Лист2!$A$2:$A$505, Лист1!A494,Лист2!$B$2:$B$505,Лист1!B494)</f>
        <v>18</v>
      </c>
      <c r="F494" s="5">
        <f>SUMIFS(Лист2!$D$2:$D$505,Лист2!$A$2:$A$505, Лист1!A494,Лист2!$B$2:$B$505,Лист1!B494)</f>
        <v>985</v>
      </c>
      <c r="G494" s="5">
        <f>SUMIFS(Лист2!$E$2:$E$505,Лист2!$A$2:$A$505, Лист1!A494,Лист2!$B$2:$B$505,Лист1!B494)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2">
      <c r="A495" s="10">
        <v>43983</v>
      </c>
      <c r="B495" s="6" t="s">
        <v>25</v>
      </c>
      <c r="C495" s="17">
        <v>5166</v>
      </c>
      <c r="D495" s="17">
        <v>389013</v>
      </c>
      <c r="E495" s="5">
        <f>SUMIFS(Лист2!$C$2:$C$505,Лист2!$A$2:$A$505, Лист1!A495,Лист2!$B$2:$B$505,Лист1!B495)</f>
        <v>9</v>
      </c>
      <c r="F495" s="5">
        <f>SUMIFS(Лист2!$D$2:$D$505,Лист2!$A$2:$A$505, Лист1!A495,Лист2!$B$2:$B$505,Лист1!B495)</f>
        <v>294</v>
      </c>
      <c r="G495" s="5">
        <f>SUMIFS(Лист2!$E$2:$E$505,Лист2!$A$2:$A$505, Лист1!A495,Лист2!$B$2:$B$505,Лист1!B495)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2">
      <c r="A496" s="9">
        <v>43962</v>
      </c>
      <c r="B496" s="4" t="s">
        <v>23</v>
      </c>
      <c r="C496" s="16">
        <v>10941</v>
      </c>
      <c r="D496" s="16">
        <v>880356</v>
      </c>
      <c r="E496" s="5">
        <f>SUMIFS(Лист2!$C$2:$C$505,Лист2!$A$2:$A$505, Лист1!A496,Лист2!$B$2:$B$505,Лист1!B496)</f>
        <v>15</v>
      </c>
      <c r="F496" s="5">
        <f>SUMIFS(Лист2!$D$2:$D$505,Лист2!$A$2:$A$505, Лист1!A496,Лист2!$B$2:$B$505,Лист1!B496)</f>
        <v>654</v>
      </c>
      <c r="G496" s="5">
        <f>SUMIFS(Лист2!$E$2:$E$505,Лист2!$A$2:$A$505, Лист1!A496,Лист2!$B$2:$B$505,Лист1!B496)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2">
      <c r="A497" s="10">
        <v>43969</v>
      </c>
      <c r="B497" s="6" t="s">
        <v>23</v>
      </c>
      <c r="C497" s="17">
        <v>14497.5</v>
      </c>
      <c r="D497" s="17">
        <v>1230711</v>
      </c>
      <c r="E497" s="5">
        <f>SUMIFS(Лист2!$C$2:$C$505,Лист2!$A$2:$A$505, Лист1!A497,Лист2!$B$2:$B$505,Лист1!B497)</f>
        <v>16</v>
      </c>
      <c r="F497" s="5">
        <f>SUMIFS(Лист2!$D$2:$D$505,Лист2!$A$2:$A$505, Лист1!A497,Лист2!$B$2:$B$505,Лист1!B497)</f>
        <v>864</v>
      </c>
      <c r="G497" s="5">
        <f>SUMIFS(Лист2!$E$2:$E$505,Лист2!$A$2:$A$505, Лист1!A497,Лист2!$B$2:$B$505,Лист1!B497)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2">
      <c r="A498" s="9">
        <v>43965</v>
      </c>
      <c r="B498" s="4" t="s">
        <v>23</v>
      </c>
      <c r="C498" s="16">
        <v>13810.5</v>
      </c>
      <c r="D498" s="16">
        <v>1131676.5</v>
      </c>
      <c r="E498" s="5">
        <f>SUMIFS(Лист2!$C$2:$C$505,Лист2!$A$2:$A$505, Лист1!A498,Лист2!$B$2:$B$505,Лист1!B498)</f>
        <v>16</v>
      </c>
      <c r="F498" s="5">
        <f>SUMIFS(Лист2!$D$2:$D$505,Лист2!$A$2:$A$505, Лист1!A498,Лист2!$B$2:$B$505,Лист1!B498)</f>
        <v>834</v>
      </c>
      <c r="G498" s="5">
        <f>SUMIFS(Лист2!$E$2:$E$505,Лист2!$A$2:$A$505, Лист1!A498,Лист2!$B$2:$B$505,Лист1!B498)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2">
      <c r="A499" s="10">
        <v>43966</v>
      </c>
      <c r="B499" s="6" t="s">
        <v>23</v>
      </c>
      <c r="C499" s="17">
        <v>13752</v>
      </c>
      <c r="D499" s="17">
        <v>1091040</v>
      </c>
      <c r="E499" s="5">
        <f>SUMIFS(Лист2!$C$2:$C$505,Лист2!$A$2:$A$505, Лист1!A499,Лист2!$B$2:$B$505,Лист1!B499)</f>
        <v>16</v>
      </c>
      <c r="F499" s="5">
        <f>SUMIFS(Лист2!$D$2:$D$505,Лист2!$A$2:$A$505, Лист1!A499,Лист2!$B$2:$B$505,Лист1!B499)</f>
        <v>817</v>
      </c>
      <c r="G499" s="5">
        <f>SUMIFS(Лист2!$E$2:$E$505,Лист2!$A$2:$A$505, Лист1!A499,Лист2!$B$2:$B$505,Лист1!B499)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2">
      <c r="A500" s="9">
        <v>43978</v>
      </c>
      <c r="B500" s="4" t="s">
        <v>23</v>
      </c>
      <c r="C500" s="16">
        <v>15276</v>
      </c>
      <c r="D500" s="16">
        <v>1350199.5</v>
      </c>
      <c r="E500" s="5">
        <f>SUMIFS(Лист2!$C$2:$C$505,Лист2!$A$2:$A$505, Лист1!A500,Лист2!$B$2:$B$505,Лист1!B500)</f>
        <v>18</v>
      </c>
      <c r="F500" s="5">
        <f>SUMIFS(Лист2!$D$2:$D$505,Лист2!$A$2:$A$505, Лист1!A500,Лист2!$B$2:$B$505,Лист1!B500)</f>
        <v>962</v>
      </c>
      <c r="G500" s="5">
        <f>SUMIFS(Лист2!$E$2:$E$505,Лист2!$A$2:$A$505, Лист1!A500,Лист2!$B$2:$B$505,Лист1!B500)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2">
      <c r="A501" s="10">
        <v>43983</v>
      </c>
      <c r="B501" s="6" t="s">
        <v>26</v>
      </c>
      <c r="C501" s="17">
        <v>4408.5</v>
      </c>
      <c r="D501" s="17">
        <v>410892</v>
      </c>
      <c r="E501" s="5">
        <f>SUMIFS(Лист2!$C$2:$C$505,Лист2!$A$2:$A$505, Лист1!A501,Лист2!$B$2:$B$505,Лист1!B501)</f>
        <v>6</v>
      </c>
      <c r="F501" s="5">
        <f>SUMIFS(Лист2!$D$2:$D$505,Лист2!$A$2:$A$505, Лист1!A501,Лист2!$B$2:$B$505,Лист1!B501)</f>
        <v>237</v>
      </c>
      <c r="G501" s="5">
        <f>SUMIFS(Лист2!$E$2:$E$505,Лист2!$A$2:$A$505, Лист1!A501,Лист2!$B$2:$B$505,Лист1!B501)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2">
      <c r="A502" s="9">
        <v>43980</v>
      </c>
      <c r="B502" s="4" t="s">
        <v>24</v>
      </c>
      <c r="C502" s="16">
        <v>9927</v>
      </c>
      <c r="D502" s="16">
        <v>850840.5</v>
      </c>
      <c r="E502" s="5">
        <f>SUMIFS(Лист2!$C$2:$C$505,Лист2!$A$2:$A$505, Лист1!A502,Лист2!$B$2:$B$505,Лист1!B502)</f>
        <v>7</v>
      </c>
      <c r="F502" s="5">
        <f>SUMIFS(Лист2!$D$2:$D$505,Лист2!$A$2:$A$505, Лист1!A502,Лист2!$B$2:$B$505,Лист1!B502)</f>
        <v>491</v>
      </c>
      <c r="G502" s="5">
        <f>SUMIFS(Лист2!$E$2:$E$505,Лист2!$A$2:$A$505, Лист1!A502,Лист2!$B$2:$B$505,Лист1!B502)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2">
      <c r="A503" s="10">
        <v>43983</v>
      </c>
      <c r="B503" s="6" t="s">
        <v>24</v>
      </c>
      <c r="C503" s="17">
        <v>9474</v>
      </c>
      <c r="D503" s="17">
        <v>802447.5</v>
      </c>
      <c r="E503" s="5">
        <f>SUMIFS(Лист2!$C$2:$C$505,Лист2!$A$2:$A$505, Лист1!A503,Лист2!$B$2:$B$505,Лист1!B503)</f>
        <v>7</v>
      </c>
      <c r="F503" s="5">
        <f>SUMIFS(Лист2!$D$2:$D$505,Лист2!$A$2:$A$505, Лист1!A503,Лист2!$B$2:$B$505,Лист1!B503)</f>
        <v>500</v>
      </c>
      <c r="G503" s="5">
        <f>SUMIFS(Лист2!$E$2:$E$505,Лист2!$A$2:$A$505, Лист1!A503,Лист2!$B$2:$B$505,Лист1!B503)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2">
      <c r="A504" s="9">
        <v>43980</v>
      </c>
      <c r="B504" s="4" t="s">
        <v>23</v>
      </c>
      <c r="C504" s="16">
        <v>16878</v>
      </c>
      <c r="D504" s="16">
        <v>1438255.5</v>
      </c>
      <c r="E504" s="5">
        <f>SUMIFS(Лист2!$C$2:$C$505,Лист2!$A$2:$A$505, Лист1!A504,Лист2!$B$2:$B$505,Лист1!B504)</f>
        <v>18</v>
      </c>
      <c r="F504" s="5">
        <f>SUMIFS(Лист2!$D$2:$D$505,Лист2!$A$2:$A$505, Лист1!A504,Лист2!$B$2:$B$505,Лист1!B504)</f>
        <v>1014</v>
      </c>
      <c r="G504" s="5">
        <f>SUMIFS(Лист2!$E$2:$E$505,Лист2!$A$2:$A$505, Лист1!A504,Лист2!$B$2:$B$505,Лист1!B504)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2">
      <c r="A505" s="11">
        <v>43983</v>
      </c>
      <c r="B505" s="7" t="s">
        <v>23</v>
      </c>
      <c r="C505" s="18">
        <v>14238</v>
      </c>
      <c r="D505" s="18">
        <v>1293219</v>
      </c>
      <c r="E505" s="5">
        <f>SUMIFS(Лист2!$C$2:$C$505,Лист2!$A$2:$A$505, Лист1!A505,Лист2!$B$2:$B$505,Лист1!B505)</f>
        <v>18</v>
      </c>
      <c r="F505" s="5">
        <f>SUMIFS(Лист2!$D$2:$D$505,Лист2!$A$2:$A$505, Лист1!A505,Лист2!$B$2:$B$505,Лист1!B505)</f>
        <v>923</v>
      </c>
      <c r="G505" s="5">
        <f>SUMIFS(Лист2!$E$2:$E$505,Лист2!$A$2:$A$505, Лист1!A505,Лист2!$B$2:$B$505,Лист1!B505)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"/>
    <row r="507" spans="1:9" ht="14.25" customHeight="1" x14ac:dyDescent="0.2"/>
    <row r="508" spans="1:9" ht="14.25" customHeight="1" x14ac:dyDescent="0.2"/>
    <row r="509" spans="1:9" ht="14.25" customHeight="1" x14ac:dyDescent="0.2"/>
    <row r="510" spans="1:9" ht="14.25" customHeight="1" x14ac:dyDescent="0.2"/>
    <row r="511" spans="1:9" ht="14.25" customHeight="1" x14ac:dyDescent="0.2"/>
    <row r="512" spans="1:9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K1:L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2" sqref="C2"/>
    </sheetView>
  </sheetViews>
  <sheetFormatPr baseColWidth="10" defaultColWidth="14.5" defaultRowHeight="15" customHeight="1" x14ac:dyDescent="0.2"/>
  <cols>
    <col min="1" max="1" width="10.5" style="12" customWidth="1"/>
    <col min="2" max="2" width="22.83203125" customWidth="1"/>
    <col min="3" max="3" width="22.6640625" style="19" customWidth="1"/>
    <col min="4" max="4" width="22.1640625" style="19" customWidth="1"/>
    <col min="5" max="5" width="25.5" style="19" customWidth="1"/>
    <col min="6" max="26" width="8.6640625" customWidth="1"/>
  </cols>
  <sheetData>
    <row r="1" spans="1:5" ht="14.25" customHeight="1" x14ac:dyDescent="0.2">
      <c r="A1" s="13" t="s">
        <v>0</v>
      </c>
      <c r="B1" s="2" t="s">
        <v>1</v>
      </c>
      <c r="C1" s="20" t="s">
        <v>4</v>
      </c>
      <c r="D1" s="20" t="s">
        <v>5</v>
      </c>
      <c r="E1" s="20" t="s">
        <v>6</v>
      </c>
    </row>
    <row r="2" spans="1:5" ht="14.25" customHeight="1" x14ac:dyDescent="0.2">
      <c r="A2" s="14">
        <v>43949</v>
      </c>
      <c r="B2" s="5" t="s">
        <v>16</v>
      </c>
      <c r="C2" s="21">
        <v>36</v>
      </c>
      <c r="D2" s="21">
        <v>4923</v>
      </c>
      <c r="E2" s="21">
        <v>4560</v>
      </c>
    </row>
    <row r="3" spans="1:5" ht="14.25" customHeight="1" x14ac:dyDescent="0.2">
      <c r="A3" s="14">
        <v>43949</v>
      </c>
      <c r="B3" s="5" t="s">
        <v>11</v>
      </c>
      <c r="C3" s="21">
        <v>31</v>
      </c>
      <c r="D3" s="21">
        <v>5465</v>
      </c>
      <c r="E3" s="21">
        <v>5096</v>
      </c>
    </row>
    <row r="4" spans="1:5" ht="14.25" customHeight="1" x14ac:dyDescent="0.2">
      <c r="A4" s="14">
        <v>43949</v>
      </c>
      <c r="B4" s="5" t="s">
        <v>17</v>
      </c>
      <c r="C4" s="21">
        <v>19</v>
      </c>
      <c r="D4" s="21">
        <v>1846</v>
      </c>
      <c r="E4" s="21">
        <v>1681</v>
      </c>
    </row>
    <row r="5" spans="1:5" ht="14.25" customHeight="1" x14ac:dyDescent="0.2">
      <c r="A5" s="14">
        <v>43949</v>
      </c>
      <c r="B5" s="5" t="s">
        <v>10</v>
      </c>
      <c r="C5" s="21">
        <v>18</v>
      </c>
      <c r="D5" s="21">
        <v>1539</v>
      </c>
      <c r="E5" s="21">
        <v>1404</v>
      </c>
    </row>
    <row r="6" spans="1:5" ht="14.25" customHeight="1" x14ac:dyDescent="0.2">
      <c r="A6" s="14">
        <v>43949</v>
      </c>
      <c r="B6" s="5" t="s">
        <v>20</v>
      </c>
      <c r="C6" s="21">
        <v>18</v>
      </c>
      <c r="D6" s="21">
        <v>1505</v>
      </c>
      <c r="E6" s="21">
        <v>1368</v>
      </c>
    </row>
    <row r="7" spans="1:5" ht="14.25" customHeight="1" x14ac:dyDescent="0.2">
      <c r="A7" s="14">
        <v>43949</v>
      </c>
      <c r="B7" s="5" t="s">
        <v>22</v>
      </c>
      <c r="C7" s="21">
        <v>54</v>
      </c>
      <c r="D7" s="21">
        <v>12306</v>
      </c>
      <c r="E7" s="21">
        <v>11532</v>
      </c>
    </row>
    <row r="8" spans="1:5" ht="14.25" customHeight="1" x14ac:dyDescent="0.2">
      <c r="A8" s="14">
        <v>43949</v>
      </c>
      <c r="B8" s="5" t="s">
        <v>21</v>
      </c>
      <c r="C8" s="21">
        <v>59</v>
      </c>
      <c r="D8" s="21">
        <v>12943</v>
      </c>
      <c r="E8" s="21">
        <v>12072</v>
      </c>
    </row>
    <row r="9" spans="1:5" ht="14.25" customHeight="1" x14ac:dyDescent="0.2">
      <c r="A9" s="14">
        <v>43949</v>
      </c>
      <c r="B9" s="5" t="s">
        <v>13</v>
      </c>
      <c r="C9" s="21">
        <v>17</v>
      </c>
      <c r="D9" s="21">
        <v>1439</v>
      </c>
      <c r="E9" s="21">
        <v>1265</v>
      </c>
    </row>
    <row r="10" spans="1:5" ht="14.25" customHeight="1" x14ac:dyDescent="0.2">
      <c r="A10" s="14">
        <v>43949</v>
      </c>
      <c r="B10" s="5" t="s">
        <v>23</v>
      </c>
      <c r="C10" s="21">
        <v>15</v>
      </c>
      <c r="D10" s="21">
        <v>636</v>
      </c>
      <c r="E10" s="21">
        <v>547</v>
      </c>
    </row>
    <row r="11" spans="1:5" ht="14.25" customHeight="1" x14ac:dyDescent="0.2">
      <c r="A11" s="14">
        <v>43949</v>
      </c>
      <c r="B11" s="5" t="s">
        <v>18</v>
      </c>
      <c r="C11" s="21">
        <v>15</v>
      </c>
      <c r="D11" s="21">
        <v>780</v>
      </c>
      <c r="E11" s="21">
        <v>690</v>
      </c>
    </row>
    <row r="12" spans="1:5" ht="14.25" customHeight="1" x14ac:dyDescent="0.2">
      <c r="A12" s="14">
        <v>43949</v>
      </c>
      <c r="B12" s="5" t="s">
        <v>15</v>
      </c>
      <c r="C12" s="21">
        <v>125</v>
      </c>
      <c r="D12" s="21">
        <v>20914</v>
      </c>
      <c r="E12" s="21">
        <v>19479</v>
      </c>
    </row>
    <row r="13" spans="1:5" ht="14.25" customHeight="1" x14ac:dyDescent="0.2">
      <c r="A13" s="14">
        <v>43949</v>
      </c>
      <c r="B13" s="5" t="s">
        <v>14</v>
      </c>
      <c r="C13" s="21">
        <v>128</v>
      </c>
      <c r="D13" s="21">
        <v>16450</v>
      </c>
      <c r="E13" s="21">
        <v>15320</v>
      </c>
    </row>
    <row r="14" spans="1:5" ht="14.25" customHeight="1" x14ac:dyDescent="0.2">
      <c r="A14" s="14">
        <v>43949</v>
      </c>
      <c r="B14" s="5" t="s">
        <v>12</v>
      </c>
      <c r="C14" s="21">
        <v>10</v>
      </c>
      <c r="D14" s="21">
        <v>580</v>
      </c>
      <c r="E14" s="21">
        <v>506</v>
      </c>
    </row>
    <row r="15" spans="1:5" ht="14.25" customHeight="1" x14ac:dyDescent="0.2">
      <c r="A15" s="14">
        <v>43950</v>
      </c>
      <c r="B15" s="5" t="s">
        <v>16</v>
      </c>
      <c r="C15" s="21">
        <v>36</v>
      </c>
      <c r="D15" s="21">
        <v>4937</v>
      </c>
      <c r="E15" s="21">
        <v>4561</v>
      </c>
    </row>
    <row r="16" spans="1:5" ht="14.25" customHeight="1" x14ac:dyDescent="0.2">
      <c r="A16" s="14">
        <v>43950</v>
      </c>
      <c r="B16" s="5" t="s">
        <v>11</v>
      </c>
      <c r="C16" s="21">
        <v>31</v>
      </c>
      <c r="D16" s="21">
        <v>5378</v>
      </c>
      <c r="E16" s="21">
        <v>4985</v>
      </c>
    </row>
    <row r="17" spans="1:5" ht="14.25" customHeight="1" x14ac:dyDescent="0.2">
      <c r="A17" s="14">
        <v>43950</v>
      </c>
      <c r="B17" s="5" t="s">
        <v>17</v>
      </c>
      <c r="C17" s="21">
        <v>19</v>
      </c>
      <c r="D17" s="21">
        <v>1676</v>
      </c>
      <c r="E17" s="21">
        <v>1516</v>
      </c>
    </row>
    <row r="18" spans="1:5" ht="14.25" customHeight="1" x14ac:dyDescent="0.2">
      <c r="A18" s="14">
        <v>43950</v>
      </c>
      <c r="B18" s="5" t="s">
        <v>10</v>
      </c>
      <c r="C18" s="21">
        <v>18</v>
      </c>
      <c r="D18" s="21">
        <v>1684</v>
      </c>
      <c r="E18" s="21">
        <v>1528</v>
      </c>
    </row>
    <row r="19" spans="1:5" ht="14.25" customHeight="1" x14ac:dyDescent="0.2">
      <c r="A19" s="14">
        <v>43950</v>
      </c>
      <c r="B19" s="5" t="s">
        <v>20</v>
      </c>
      <c r="C19" s="21">
        <v>18</v>
      </c>
      <c r="D19" s="21">
        <v>1599</v>
      </c>
      <c r="E19" s="21">
        <v>1450</v>
      </c>
    </row>
    <row r="20" spans="1:5" ht="14.25" customHeight="1" x14ac:dyDescent="0.2">
      <c r="A20" s="14">
        <v>43950</v>
      </c>
      <c r="B20" s="5" t="s">
        <v>22</v>
      </c>
      <c r="C20" s="21">
        <v>54</v>
      </c>
      <c r="D20" s="21">
        <v>12747</v>
      </c>
      <c r="E20" s="21">
        <v>11884</v>
      </c>
    </row>
    <row r="21" spans="1:5" ht="14.25" customHeight="1" x14ac:dyDescent="0.2">
      <c r="A21" s="14">
        <v>43950</v>
      </c>
      <c r="B21" s="5" t="s">
        <v>21</v>
      </c>
      <c r="C21" s="21">
        <v>59</v>
      </c>
      <c r="D21" s="21">
        <v>13186</v>
      </c>
      <c r="E21" s="21">
        <v>12251</v>
      </c>
    </row>
    <row r="22" spans="1:5" ht="14.25" customHeight="1" x14ac:dyDescent="0.2">
      <c r="A22" s="14">
        <v>43950</v>
      </c>
      <c r="B22" s="5" t="s">
        <v>13</v>
      </c>
      <c r="C22" s="21">
        <v>18</v>
      </c>
      <c r="D22" s="21">
        <v>1534</v>
      </c>
      <c r="E22" s="21">
        <v>1369</v>
      </c>
    </row>
    <row r="23" spans="1:5" ht="14.25" customHeight="1" x14ac:dyDescent="0.2">
      <c r="A23" s="14">
        <v>43950</v>
      </c>
      <c r="B23" s="5" t="s">
        <v>23</v>
      </c>
      <c r="C23" s="21">
        <v>15</v>
      </c>
      <c r="D23" s="21">
        <v>659</v>
      </c>
      <c r="E23" s="21">
        <v>575</v>
      </c>
    </row>
    <row r="24" spans="1:5" ht="14.25" customHeight="1" x14ac:dyDescent="0.2">
      <c r="A24" s="14">
        <v>43950</v>
      </c>
      <c r="B24" s="5" t="s">
        <v>18</v>
      </c>
      <c r="C24" s="21">
        <v>15</v>
      </c>
      <c r="D24" s="21">
        <v>786</v>
      </c>
      <c r="E24" s="21">
        <v>695</v>
      </c>
    </row>
    <row r="25" spans="1:5" ht="14.25" customHeight="1" x14ac:dyDescent="0.2">
      <c r="A25" s="14">
        <v>43950</v>
      </c>
      <c r="B25" s="5" t="s">
        <v>15</v>
      </c>
      <c r="C25" s="21">
        <v>125</v>
      </c>
      <c r="D25" s="21">
        <v>21863</v>
      </c>
      <c r="E25" s="21">
        <v>20160</v>
      </c>
    </row>
    <row r="26" spans="1:5" ht="14.25" customHeight="1" x14ac:dyDescent="0.2">
      <c r="A26" s="14">
        <v>43950</v>
      </c>
      <c r="B26" s="5" t="s">
        <v>14</v>
      </c>
      <c r="C26" s="21">
        <v>128</v>
      </c>
      <c r="D26" s="21">
        <v>17368</v>
      </c>
      <c r="E26" s="21">
        <v>16077</v>
      </c>
    </row>
    <row r="27" spans="1:5" ht="14.25" customHeight="1" x14ac:dyDescent="0.2">
      <c r="A27" s="14">
        <v>43950</v>
      </c>
      <c r="B27" s="5" t="s">
        <v>12</v>
      </c>
      <c r="C27" s="21">
        <v>10</v>
      </c>
      <c r="D27" s="21">
        <v>502</v>
      </c>
      <c r="E27" s="21">
        <v>433</v>
      </c>
    </row>
    <row r="28" spans="1:5" ht="14.25" customHeight="1" x14ac:dyDescent="0.2">
      <c r="A28" s="14">
        <v>43951</v>
      </c>
      <c r="B28" s="5" t="s">
        <v>16</v>
      </c>
      <c r="C28" s="21">
        <v>36</v>
      </c>
      <c r="D28" s="21">
        <v>5143</v>
      </c>
      <c r="E28" s="21">
        <v>4715</v>
      </c>
    </row>
    <row r="29" spans="1:5" ht="14.25" customHeight="1" x14ac:dyDescent="0.2">
      <c r="A29" s="14">
        <v>43951</v>
      </c>
      <c r="B29" s="5" t="s">
        <v>11</v>
      </c>
      <c r="C29" s="21">
        <v>31</v>
      </c>
      <c r="D29" s="21">
        <v>5120</v>
      </c>
      <c r="E29" s="21">
        <v>4737</v>
      </c>
    </row>
    <row r="30" spans="1:5" ht="14.25" customHeight="1" x14ac:dyDescent="0.2">
      <c r="A30" s="14">
        <v>43951</v>
      </c>
      <c r="B30" s="5" t="s">
        <v>17</v>
      </c>
      <c r="C30" s="21">
        <v>20</v>
      </c>
      <c r="D30" s="21">
        <v>1756</v>
      </c>
      <c r="E30" s="21">
        <v>1586</v>
      </c>
    </row>
    <row r="31" spans="1:5" ht="14.25" customHeight="1" x14ac:dyDescent="0.2">
      <c r="A31" s="14">
        <v>43951</v>
      </c>
      <c r="B31" s="5" t="s">
        <v>10</v>
      </c>
      <c r="C31" s="21">
        <v>19</v>
      </c>
      <c r="D31" s="21">
        <v>1712</v>
      </c>
      <c r="E31" s="21">
        <v>1552</v>
      </c>
    </row>
    <row r="32" spans="1:5" ht="14.25" customHeight="1" x14ac:dyDescent="0.2">
      <c r="A32" s="14">
        <v>43951</v>
      </c>
      <c r="B32" s="5" t="s">
        <v>20</v>
      </c>
      <c r="C32" s="21">
        <v>19</v>
      </c>
      <c r="D32" s="21">
        <v>1662</v>
      </c>
      <c r="E32" s="21">
        <v>1506</v>
      </c>
    </row>
    <row r="33" spans="1:5" ht="14.25" customHeight="1" x14ac:dyDescent="0.2">
      <c r="A33" s="14">
        <v>43951</v>
      </c>
      <c r="B33" s="5" t="s">
        <v>22</v>
      </c>
      <c r="C33" s="21">
        <v>54</v>
      </c>
      <c r="D33" s="21">
        <v>12817</v>
      </c>
      <c r="E33" s="21">
        <v>11865</v>
      </c>
    </row>
    <row r="34" spans="1:5" ht="14.25" customHeight="1" x14ac:dyDescent="0.2">
      <c r="A34" s="14">
        <v>43951</v>
      </c>
      <c r="B34" s="5" t="s">
        <v>21</v>
      </c>
      <c r="C34" s="21">
        <v>59</v>
      </c>
      <c r="D34" s="21">
        <v>13251</v>
      </c>
      <c r="E34" s="21">
        <v>12255</v>
      </c>
    </row>
    <row r="35" spans="1:5" ht="14.25" customHeight="1" x14ac:dyDescent="0.2">
      <c r="A35" s="14">
        <v>43951</v>
      </c>
      <c r="B35" s="5" t="s">
        <v>13</v>
      </c>
      <c r="C35" s="21">
        <v>19</v>
      </c>
      <c r="D35" s="21">
        <v>1499</v>
      </c>
      <c r="E35" s="21">
        <v>1322</v>
      </c>
    </row>
    <row r="36" spans="1:5" ht="14.25" customHeight="1" x14ac:dyDescent="0.2">
      <c r="A36" s="14">
        <v>43951</v>
      </c>
      <c r="B36" s="5" t="s">
        <v>23</v>
      </c>
      <c r="C36" s="21">
        <v>15</v>
      </c>
      <c r="D36" s="21">
        <v>644</v>
      </c>
      <c r="E36" s="21">
        <v>550</v>
      </c>
    </row>
    <row r="37" spans="1:5" ht="14.25" customHeight="1" x14ac:dyDescent="0.2">
      <c r="A37" s="14">
        <v>43951</v>
      </c>
      <c r="B37" s="5" t="s">
        <v>18</v>
      </c>
      <c r="C37" s="21">
        <v>15</v>
      </c>
      <c r="D37" s="21">
        <v>791</v>
      </c>
      <c r="E37" s="21">
        <v>691</v>
      </c>
    </row>
    <row r="38" spans="1:5" ht="14.25" customHeight="1" x14ac:dyDescent="0.2">
      <c r="A38" s="14">
        <v>43951</v>
      </c>
      <c r="B38" s="5" t="s">
        <v>19</v>
      </c>
      <c r="C38" s="21">
        <v>15</v>
      </c>
      <c r="D38" s="21">
        <v>262</v>
      </c>
      <c r="E38" s="21">
        <v>195</v>
      </c>
    </row>
    <row r="39" spans="1:5" ht="14.25" customHeight="1" x14ac:dyDescent="0.2">
      <c r="A39" s="14">
        <v>43951</v>
      </c>
      <c r="B39" s="5" t="s">
        <v>15</v>
      </c>
      <c r="C39" s="21">
        <v>125</v>
      </c>
      <c r="D39" s="21">
        <v>22368</v>
      </c>
      <c r="E39" s="21">
        <v>20625</v>
      </c>
    </row>
    <row r="40" spans="1:5" ht="14.25" customHeight="1" x14ac:dyDescent="0.2">
      <c r="A40" s="14">
        <v>43951</v>
      </c>
      <c r="B40" s="5" t="s">
        <v>14</v>
      </c>
      <c r="C40" s="21">
        <v>129</v>
      </c>
      <c r="D40" s="21">
        <v>18042</v>
      </c>
      <c r="E40" s="21">
        <v>16631</v>
      </c>
    </row>
    <row r="41" spans="1:5" ht="14.25" customHeight="1" x14ac:dyDescent="0.2">
      <c r="A41" s="14">
        <v>43951</v>
      </c>
      <c r="B41" s="5" t="s">
        <v>12</v>
      </c>
      <c r="C41" s="21">
        <v>10</v>
      </c>
      <c r="D41" s="21">
        <v>448</v>
      </c>
      <c r="E41" s="21">
        <v>376</v>
      </c>
    </row>
    <row r="42" spans="1:5" ht="14.25" customHeight="1" x14ac:dyDescent="0.2">
      <c r="A42" s="14">
        <v>43952</v>
      </c>
      <c r="B42" s="5" t="s">
        <v>16</v>
      </c>
      <c r="C42" s="21">
        <v>36</v>
      </c>
      <c r="D42" s="21">
        <v>5457</v>
      </c>
      <c r="E42" s="21">
        <v>4916</v>
      </c>
    </row>
    <row r="43" spans="1:5" ht="14.25" customHeight="1" x14ac:dyDescent="0.2">
      <c r="A43" s="14">
        <v>43952</v>
      </c>
      <c r="B43" s="5" t="s">
        <v>11</v>
      </c>
      <c r="C43" s="21">
        <v>31</v>
      </c>
      <c r="D43" s="21">
        <v>6118</v>
      </c>
      <c r="E43" s="21">
        <v>5564</v>
      </c>
    </row>
    <row r="44" spans="1:5" ht="14.25" customHeight="1" x14ac:dyDescent="0.2">
      <c r="A44" s="14">
        <v>43952</v>
      </c>
      <c r="B44" s="5" t="s">
        <v>17</v>
      </c>
      <c r="C44" s="21">
        <v>20</v>
      </c>
      <c r="D44" s="21">
        <v>2468</v>
      </c>
      <c r="E44" s="21">
        <v>2221</v>
      </c>
    </row>
    <row r="45" spans="1:5" ht="14.25" customHeight="1" x14ac:dyDescent="0.2">
      <c r="A45" s="14">
        <v>43952</v>
      </c>
      <c r="B45" s="5" t="s">
        <v>10</v>
      </c>
      <c r="C45" s="21">
        <v>18</v>
      </c>
      <c r="D45" s="21">
        <v>1826</v>
      </c>
      <c r="E45" s="21">
        <v>1633</v>
      </c>
    </row>
    <row r="46" spans="1:5" ht="14.25" customHeight="1" x14ac:dyDescent="0.2">
      <c r="A46" s="14">
        <v>43952</v>
      </c>
      <c r="B46" s="5" t="s">
        <v>20</v>
      </c>
      <c r="C46" s="21">
        <v>19</v>
      </c>
      <c r="D46" s="21">
        <v>1987</v>
      </c>
      <c r="E46" s="21">
        <v>1791</v>
      </c>
    </row>
    <row r="47" spans="1:5" ht="14.25" customHeight="1" x14ac:dyDescent="0.2">
      <c r="A47" s="14">
        <v>43952</v>
      </c>
      <c r="B47" s="5" t="s">
        <v>22</v>
      </c>
      <c r="C47" s="21">
        <v>54</v>
      </c>
      <c r="D47" s="21">
        <v>14205</v>
      </c>
      <c r="E47" s="21">
        <v>13026</v>
      </c>
    </row>
    <row r="48" spans="1:5" ht="14.25" customHeight="1" x14ac:dyDescent="0.2">
      <c r="A48" s="14">
        <v>43952</v>
      </c>
      <c r="B48" s="5" t="s">
        <v>21</v>
      </c>
      <c r="C48" s="21">
        <v>59</v>
      </c>
      <c r="D48" s="21">
        <v>15222</v>
      </c>
      <c r="E48" s="21">
        <v>13873</v>
      </c>
    </row>
    <row r="49" spans="1:5" ht="14.25" customHeight="1" x14ac:dyDescent="0.2">
      <c r="A49" s="14">
        <v>43952</v>
      </c>
      <c r="B49" s="5" t="s">
        <v>13</v>
      </c>
      <c r="C49" s="21">
        <v>19</v>
      </c>
      <c r="D49" s="21">
        <v>1497</v>
      </c>
      <c r="E49" s="21">
        <v>1291</v>
      </c>
    </row>
    <row r="50" spans="1:5" ht="14.25" customHeight="1" x14ac:dyDescent="0.2">
      <c r="A50" s="14">
        <v>43952</v>
      </c>
      <c r="B50" s="5" t="s">
        <v>23</v>
      </c>
      <c r="C50" s="21">
        <v>15</v>
      </c>
      <c r="D50" s="21">
        <v>721</v>
      </c>
      <c r="E50" s="21">
        <v>625</v>
      </c>
    </row>
    <row r="51" spans="1:5" ht="14.25" customHeight="1" x14ac:dyDescent="0.2">
      <c r="A51" s="14">
        <v>43952</v>
      </c>
      <c r="B51" s="5" t="s">
        <v>18</v>
      </c>
      <c r="C51" s="21">
        <v>15</v>
      </c>
      <c r="D51" s="21">
        <v>996</v>
      </c>
      <c r="E51" s="21">
        <v>888</v>
      </c>
    </row>
    <row r="52" spans="1:5" ht="14.25" customHeight="1" x14ac:dyDescent="0.2">
      <c r="A52" s="14">
        <v>43952</v>
      </c>
      <c r="B52" s="5" t="s">
        <v>19</v>
      </c>
      <c r="C52" s="21">
        <v>15</v>
      </c>
      <c r="D52" s="21">
        <v>294</v>
      </c>
      <c r="E52" s="21">
        <v>225</v>
      </c>
    </row>
    <row r="53" spans="1:5" ht="14.25" customHeight="1" x14ac:dyDescent="0.2">
      <c r="A53" s="14">
        <v>43952</v>
      </c>
      <c r="B53" s="5" t="s">
        <v>15</v>
      </c>
      <c r="C53" s="21">
        <v>125</v>
      </c>
      <c r="D53" s="21">
        <v>20602</v>
      </c>
      <c r="E53" s="21">
        <v>18845</v>
      </c>
    </row>
    <row r="54" spans="1:5" ht="14.25" customHeight="1" x14ac:dyDescent="0.2">
      <c r="A54" s="14">
        <v>43952</v>
      </c>
      <c r="B54" s="5" t="s">
        <v>14</v>
      </c>
      <c r="C54" s="21">
        <v>129</v>
      </c>
      <c r="D54" s="21">
        <v>17002</v>
      </c>
      <c r="E54" s="21">
        <v>15570</v>
      </c>
    </row>
    <row r="55" spans="1:5" ht="14.25" customHeight="1" x14ac:dyDescent="0.2">
      <c r="A55" s="14">
        <v>43952</v>
      </c>
      <c r="B55" s="5" t="s">
        <v>12</v>
      </c>
      <c r="C55" s="21">
        <v>10</v>
      </c>
      <c r="D55" s="21">
        <v>554</v>
      </c>
      <c r="E55" s="21">
        <v>472</v>
      </c>
    </row>
    <row r="56" spans="1:5" ht="14.25" customHeight="1" x14ac:dyDescent="0.2">
      <c r="A56" s="14">
        <v>43953</v>
      </c>
      <c r="B56" s="5" t="s">
        <v>16</v>
      </c>
      <c r="C56" s="21">
        <v>36</v>
      </c>
      <c r="D56" s="21">
        <v>3442</v>
      </c>
      <c r="E56" s="21">
        <v>3147</v>
      </c>
    </row>
    <row r="57" spans="1:5" ht="14.25" customHeight="1" x14ac:dyDescent="0.2">
      <c r="A57" s="14">
        <v>43953</v>
      </c>
      <c r="B57" s="5" t="s">
        <v>11</v>
      </c>
      <c r="C57" s="21">
        <v>31</v>
      </c>
      <c r="D57" s="21">
        <v>4157</v>
      </c>
      <c r="E57" s="21">
        <v>3823</v>
      </c>
    </row>
    <row r="58" spans="1:5" ht="14.25" customHeight="1" x14ac:dyDescent="0.2">
      <c r="A58" s="14">
        <v>43953</v>
      </c>
      <c r="B58" s="5" t="s">
        <v>17</v>
      </c>
      <c r="C58" s="21">
        <v>20</v>
      </c>
      <c r="D58" s="21">
        <v>1613</v>
      </c>
      <c r="E58" s="21">
        <v>1457</v>
      </c>
    </row>
    <row r="59" spans="1:5" ht="14.25" customHeight="1" x14ac:dyDescent="0.2">
      <c r="A59" s="14">
        <v>43953</v>
      </c>
      <c r="B59" s="5" t="s">
        <v>10</v>
      </c>
      <c r="C59" s="21">
        <v>18</v>
      </c>
      <c r="D59" s="21">
        <v>1708</v>
      </c>
      <c r="E59" s="21">
        <v>1534</v>
      </c>
    </row>
    <row r="60" spans="1:5" ht="14.25" customHeight="1" x14ac:dyDescent="0.2">
      <c r="A60" s="14">
        <v>43953</v>
      </c>
      <c r="B60" s="5" t="s">
        <v>20</v>
      </c>
      <c r="C60" s="21">
        <v>19</v>
      </c>
      <c r="D60" s="21">
        <v>1206</v>
      </c>
      <c r="E60" s="21">
        <v>1080</v>
      </c>
    </row>
    <row r="61" spans="1:5" ht="14.25" customHeight="1" x14ac:dyDescent="0.2">
      <c r="A61" s="14">
        <v>43953</v>
      </c>
      <c r="B61" s="5" t="s">
        <v>22</v>
      </c>
      <c r="C61" s="21">
        <v>54</v>
      </c>
      <c r="D61" s="21">
        <v>11622</v>
      </c>
      <c r="E61" s="21">
        <v>10754</v>
      </c>
    </row>
    <row r="62" spans="1:5" ht="14.25" customHeight="1" x14ac:dyDescent="0.2">
      <c r="A62" s="14">
        <v>43953</v>
      </c>
      <c r="B62" s="5" t="s">
        <v>21</v>
      </c>
      <c r="C62" s="21">
        <v>59</v>
      </c>
      <c r="D62" s="21">
        <v>12429</v>
      </c>
      <c r="E62" s="21">
        <v>11477</v>
      </c>
    </row>
    <row r="63" spans="1:5" ht="14.25" customHeight="1" x14ac:dyDescent="0.2">
      <c r="A63" s="14">
        <v>43953</v>
      </c>
      <c r="B63" s="5" t="s">
        <v>13</v>
      </c>
      <c r="C63" s="21">
        <v>19</v>
      </c>
      <c r="D63" s="21">
        <v>1217</v>
      </c>
      <c r="E63" s="21">
        <v>1048</v>
      </c>
    </row>
    <row r="64" spans="1:5" ht="14.25" customHeight="1" x14ac:dyDescent="0.2">
      <c r="A64" s="14">
        <v>43953</v>
      </c>
      <c r="B64" s="5" t="s">
        <v>23</v>
      </c>
      <c r="C64" s="21">
        <v>15</v>
      </c>
      <c r="D64" s="21">
        <v>567</v>
      </c>
      <c r="E64" s="21">
        <v>493</v>
      </c>
    </row>
    <row r="65" spans="1:5" ht="14.25" customHeight="1" x14ac:dyDescent="0.2">
      <c r="A65" s="14">
        <v>43953</v>
      </c>
      <c r="B65" s="5" t="s">
        <v>18</v>
      </c>
      <c r="C65" s="21">
        <v>15</v>
      </c>
      <c r="D65" s="21">
        <v>751</v>
      </c>
      <c r="E65" s="21">
        <v>651</v>
      </c>
    </row>
    <row r="66" spans="1:5" ht="14.25" customHeight="1" x14ac:dyDescent="0.2">
      <c r="A66" s="14">
        <v>43953</v>
      </c>
      <c r="B66" s="5" t="s">
        <v>19</v>
      </c>
      <c r="C66" s="21">
        <v>15</v>
      </c>
      <c r="D66" s="21">
        <v>274</v>
      </c>
      <c r="E66" s="21">
        <v>203</v>
      </c>
    </row>
    <row r="67" spans="1:5" ht="14.25" customHeight="1" x14ac:dyDescent="0.2">
      <c r="A67" s="14">
        <v>43953</v>
      </c>
      <c r="B67" s="5" t="s">
        <v>15</v>
      </c>
      <c r="C67" s="21">
        <v>125</v>
      </c>
      <c r="D67" s="21">
        <v>16932</v>
      </c>
      <c r="E67" s="21">
        <v>15601</v>
      </c>
    </row>
    <row r="68" spans="1:5" ht="14.25" customHeight="1" x14ac:dyDescent="0.2">
      <c r="A68" s="14">
        <v>43953</v>
      </c>
      <c r="B68" s="5" t="s">
        <v>14</v>
      </c>
      <c r="C68" s="21">
        <v>129</v>
      </c>
      <c r="D68" s="21">
        <v>14009</v>
      </c>
      <c r="E68" s="21">
        <v>12920</v>
      </c>
    </row>
    <row r="69" spans="1:5" ht="14.25" customHeight="1" x14ac:dyDescent="0.2">
      <c r="A69" s="14">
        <v>43953</v>
      </c>
      <c r="B69" s="5" t="s">
        <v>12</v>
      </c>
      <c r="C69" s="21">
        <v>10</v>
      </c>
      <c r="D69" s="21">
        <v>416</v>
      </c>
      <c r="E69" s="21">
        <v>341</v>
      </c>
    </row>
    <row r="70" spans="1:5" ht="14.25" customHeight="1" x14ac:dyDescent="0.2">
      <c r="A70" s="14">
        <v>43954</v>
      </c>
      <c r="B70" s="5" t="s">
        <v>16</v>
      </c>
      <c r="C70" s="21">
        <v>36</v>
      </c>
      <c r="D70" s="21">
        <v>4751</v>
      </c>
      <c r="E70" s="21">
        <v>4370</v>
      </c>
    </row>
    <row r="71" spans="1:5" ht="14.25" customHeight="1" x14ac:dyDescent="0.2">
      <c r="A71" s="14">
        <v>43954</v>
      </c>
      <c r="B71" s="5" t="s">
        <v>11</v>
      </c>
      <c r="C71" s="21">
        <v>31</v>
      </c>
      <c r="D71" s="21">
        <v>5155</v>
      </c>
      <c r="E71" s="21">
        <v>4762</v>
      </c>
    </row>
    <row r="72" spans="1:5" ht="14.25" customHeight="1" x14ac:dyDescent="0.2">
      <c r="A72" s="14">
        <v>43954</v>
      </c>
      <c r="B72" s="5" t="s">
        <v>17</v>
      </c>
      <c r="C72" s="21">
        <v>20</v>
      </c>
      <c r="D72" s="21">
        <v>1716</v>
      </c>
      <c r="E72" s="21">
        <v>1561</v>
      </c>
    </row>
    <row r="73" spans="1:5" ht="14.25" customHeight="1" x14ac:dyDescent="0.2">
      <c r="A73" s="14">
        <v>43954</v>
      </c>
      <c r="B73" s="5" t="s">
        <v>10</v>
      </c>
      <c r="C73" s="21">
        <v>20</v>
      </c>
      <c r="D73" s="21">
        <v>1520</v>
      </c>
      <c r="E73" s="21">
        <v>1373</v>
      </c>
    </row>
    <row r="74" spans="1:5" ht="14.25" customHeight="1" x14ac:dyDescent="0.2">
      <c r="A74" s="14">
        <v>43954</v>
      </c>
      <c r="B74" s="5" t="s">
        <v>20</v>
      </c>
      <c r="C74" s="21">
        <v>19</v>
      </c>
      <c r="D74" s="21">
        <v>1314</v>
      </c>
      <c r="E74" s="21">
        <v>1192</v>
      </c>
    </row>
    <row r="75" spans="1:5" ht="14.25" customHeight="1" x14ac:dyDescent="0.2">
      <c r="A75" s="14">
        <v>43954</v>
      </c>
      <c r="B75" s="5" t="s">
        <v>22</v>
      </c>
      <c r="C75" s="21">
        <v>54</v>
      </c>
      <c r="D75" s="21">
        <v>14823</v>
      </c>
      <c r="E75" s="21">
        <v>13751</v>
      </c>
    </row>
    <row r="76" spans="1:5" ht="14.25" customHeight="1" x14ac:dyDescent="0.2">
      <c r="A76" s="14">
        <v>43954</v>
      </c>
      <c r="B76" s="5" t="s">
        <v>21</v>
      </c>
      <c r="C76" s="21">
        <v>59</v>
      </c>
      <c r="D76" s="21">
        <v>15277</v>
      </c>
      <c r="E76" s="21">
        <v>14163</v>
      </c>
    </row>
    <row r="77" spans="1:5" ht="14.25" customHeight="1" x14ac:dyDescent="0.2">
      <c r="A77" s="14">
        <v>43954</v>
      </c>
      <c r="B77" s="5" t="s">
        <v>13</v>
      </c>
      <c r="C77" s="21">
        <v>19</v>
      </c>
      <c r="D77" s="21">
        <v>1402</v>
      </c>
      <c r="E77" s="21">
        <v>1234</v>
      </c>
    </row>
    <row r="78" spans="1:5" ht="14.25" customHeight="1" x14ac:dyDescent="0.2">
      <c r="A78" s="14">
        <v>43954</v>
      </c>
      <c r="B78" s="5" t="s">
        <v>23</v>
      </c>
      <c r="C78" s="21">
        <v>15</v>
      </c>
      <c r="D78" s="21">
        <v>585</v>
      </c>
      <c r="E78" s="21">
        <v>502</v>
      </c>
    </row>
    <row r="79" spans="1:5" ht="14.25" customHeight="1" x14ac:dyDescent="0.2">
      <c r="A79" s="14">
        <v>43954</v>
      </c>
      <c r="B79" s="5" t="s">
        <v>18</v>
      </c>
      <c r="C79" s="21">
        <v>15</v>
      </c>
      <c r="D79" s="21">
        <v>784</v>
      </c>
      <c r="E79" s="21">
        <v>696</v>
      </c>
    </row>
    <row r="80" spans="1:5" ht="14.25" customHeight="1" x14ac:dyDescent="0.2">
      <c r="A80" s="14">
        <v>43954</v>
      </c>
      <c r="B80" s="5" t="s">
        <v>19</v>
      </c>
      <c r="C80" s="21">
        <v>15</v>
      </c>
      <c r="D80" s="21">
        <v>455</v>
      </c>
      <c r="E80" s="21">
        <v>384</v>
      </c>
    </row>
    <row r="81" spans="1:5" ht="14.25" customHeight="1" x14ac:dyDescent="0.2">
      <c r="A81" s="14">
        <v>43954</v>
      </c>
      <c r="B81" s="5" t="s">
        <v>15</v>
      </c>
      <c r="C81" s="21">
        <v>125</v>
      </c>
      <c r="D81" s="21">
        <v>18861</v>
      </c>
      <c r="E81" s="21">
        <v>17420</v>
      </c>
    </row>
    <row r="82" spans="1:5" ht="14.25" customHeight="1" x14ac:dyDescent="0.2">
      <c r="A82" s="14">
        <v>43954</v>
      </c>
      <c r="B82" s="5" t="s">
        <v>14</v>
      </c>
      <c r="C82" s="21">
        <v>129</v>
      </c>
      <c r="D82" s="21">
        <v>15778</v>
      </c>
      <c r="E82" s="21">
        <v>14624</v>
      </c>
    </row>
    <row r="83" spans="1:5" ht="14.25" customHeight="1" x14ac:dyDescent="0.2">
      <c r="A83" s="14">
        <v>43954</v>
      </c>
      <c r="B83" s="5" t="s">
        <v>12</v>
      </c>
      <c r="C83" s="21">
        <v>10</v>
      </c>
      <c r="D83" s="21">
        <v>402</v>
      </c>
      <c r="E83" s="21">
        <v>333</v>
      </c>
    </row>
    <row r="84" spans="1:5" ht="14.25" customHeight="1" x14ac:dyDescent="0.2">
      <c r="A84" s="14">
        <v>43955</v>
      </c>
      <c r="B84" s="5" t="s">
        <v>16</v>
      </c>
      <c r="C84" s="21">
        <v>36</v>
      </c>
      <c r="D84" s="21">
        <v>4508</v>
      </c>
      <c r="E84" s="21">
        <v>4149</v>
      </c>
    </row>
    <row r="85" spans="1:5" ht="14.25" customHeight="1" x14ac:dyDescent="0.2">
      <c r="A85" s="14">
        <v>43955</v>
      </c>
      <c r="B85" s="5" t="s">
        <v>11</v>
      </c>
      <c r="C85" s="21">
        <v>31</v>
      </c>
      <c r="D85" s="21">
        <v>4968</v>
      </c>
      <c r="E85" s="21">
        <v>4596</v>
      </c>
    </row>
    <row r="86" spans="1:5" ht="14.25" customHeight="1" x14ac:dyDescent="0.2">
      <c r="A86" s="14">
        <v>43955</v>
      </c>
      <c r="B86" s="5" t="s">
        <v>17</v>
      </c>
      <c r="C86" s="21">
        <v>20</v>
      </c>
      <c r="D86" s="21">
        <v>1804</v>
      </c>
      <c r="E86" s="21">
        <v>1638</v>
      </c>
    </row>
    <row r="87" spans="1:5" ht="14.25" customHeight="1" x14ac:dyDescent="0.2">
      <c r="A87" s="14">
        <v>43955</v>
      </c>
      <c r="B87" s="5" t="s">
        <v>10</v>
      </c>
      <c r="C87" s="21">
        <v>20</v>
      </c>
      <c r="D87" s="21">
        <v>1519</v>
      </c>
      <c r="E87" s="21">
        <v>1372</v>
      </c>
    </row>
    <row r="88" spans="1:5" ht="14.25" customHeight="1" x14ac:dyDescent="0.2">
      <c r="A88" s="14">
        <v>43955</v>
      </c>
      <c r="B88" s="5" t="s">
        <v>20</v>
      </c>
      <c r="C88" s="21">
        <v>19</v>
      </c>
      <c r="D88" s="21">
        <v>1479</v>
      </c>
      <c r="E88" s="21">
        <v>1346</v>
      </c>
    </row>
    <row r="89" spans="1:5" ht="14.25" customHeight="1" x14ac:dyDescent="0.2">
      <c r="A89" s="14">
        <v>43955</v>
      </c>
      <c r="B89" s="5" t="s">
        <v>22</v>
      </c>
      <c r="C89" s="21">
        <v>54</v>
      </c>
      <c r="D89" s="21">
        <v>13606</v>
      </c>
      <c r="E89" s="21">
        <v>12697</v>
      </c>
    </row>
    <row r="90" spans="1:5" ht="14.25" customHeight="1" x14ac:dyDescent="0.2">
      <c r="A90" s="14">
        <v>43955</v>
      </c>
      <c r="B90" s="5" t="s">
        <v>21</v>
      </c>
      <c r="C90" s="21">
        <v>59</v>
      </c>
      <c r="D90" s="21">
        <v>14423</v>
      </c>
      <c r="E90" s="21">
        <v>13432</v>
      </c>
    </row>
    <row r="91" spans="1:5" ht="14.25" customHeight="1" x14ac:dyDescent="0.2">
      <c r="A91" s="14">
        <v>43955</v>
      </c>
      <c r="B91" s="5" t="s">
        <v>13</v>
      </c>
      <c r="C91" s="21">
        <v>19</v>
      </c>
      <c r="D91" s="21">
        <v>1582</v>
      </c>
      <c r="E91" s="21">
        <v>1403</v>
      </c>
    </row>
    <row r="92" spans="1:5" ht="14.25" customHeight="1" x14ac:dyDescent="0.2">
      <c r="A92" s="14">
        <v>43955</v>
      </c>
      <c r="B92" s="5" t="s">
        <v>23</v>
      </c>
      <c r="C92" s="21">
        <v>15</v>
      </c>
      <c r="D92" s="21">
        <v>622</v>
      </c>
      <c r="E92" s="21">
        <v>538</v>
      </c>
    </row>
    <row r="93" spans="1:5" ht="14.25" customHeight="1" x14ac:dyDescent="0.2">
      <c r="A93" s="14">
        <v>43955</v>
      </c>
      <c r="B93" s="5" t="s">
        <v>18</v>
      </c>
      <c r="C93" s="21">
        <v>15</v>
      </c>
      <c r="D93" s="21">
        <v>750</v>
      </c>
      <c r="E93" s="21">
        <v>647</v>
      </c>
    </row>
    <row r="94" spans="1:5" ht="14.25" customHeight="1" x14ac:dyDescent="0.2">
      <c r="A94" s="14">
        <v>43955</v>
      </c>
      <c r="B94" s="5" t="s">
        <v>19</v>
      </c>
      <c r="C94" s="21">
        <v>15</v>
      </c>
      <c r="D94" s="21">
        <v>390</v>
      </c>
      <c r="E94" s="21">
        <v>315</v>
      </c>
    </row>
    <row r="95" spans="1:5" ht="14.25" customHeight="1" x14ac:dyDescent="0.2">
      <c r="A95" s="14">
        <v>43955</v>
      </c>
      <c r="B95" s="5" t="s">
        <v>15</v>
      </c>
      <c r="C95" s="21">
        <v>125</v>
      </c>
      <c r="D95" s="21">
        <v>20495</v>
      </c>
      <c r="E95" s="21">
        <v>18964</v>
      </c>
    </row>
    <row r="96" spans="1:5" ht="14.25" customHeight="1" x14ac:dyDescent="0.2">
      <c r="A96" s="14">
        <v>43955</v>
      </c>
      <c r="B96" s="5" t="s">
        <v>14</v>
      </c>
      <c r="C96" s="21">
        <v>129</v>
      </c>
      <c r="D96" s="21">
        <v>16525</v>
      </c>
      <c r="E96" s="21">
        <v>15310</v>
      </c>
    </row>
    <row r="97" spans="1:5" ht="14.25" customHeight="1" x14ac:dyDescent="0.2">
      <c r="A97" s="14">
        <v>43955</v>
      </c>
      <c r="B97" s="5" t="s">
        <v>12</v>
      </c>
      <c r="C97" s="21">
        <v>10</v>
      </c>
      <c r="D97" s="21">
        <v>462</v>
      </c>
      <c r="E97" s="21">
        <v>396</v>
      </c>
    </row>
    <row r="98" spans="1:5" ht="14.25" customHeight="1" x14ac:dyDescent="0.2">
      <c r="A98" s="14">
        <v>43956</v>
      </c>
      <c r="B98" s="5" t="s">
        <v>16</v>
      </c>
      <c r="C98" s="21">
        <v>36</v>
      </c>
      <c r="D98" s="21">
        <v>4575</v>
      </c>
      <c r="E98" s="21">
        <v>4206</v>
      </c>
    </row>
    <row r="99" spans="1:5" ht="14.25" customHeight="1" x14ac:dyDescent="0.2">
      <c r="A99" s="14">
        <v>43956</v>
      </c>
      <c r="B99" s="5" t="s">
        <v>11</v>
      </c>
      <c r="C99" s="21">
        <v>31</v>
      </c>
      <c r="D99" s="21">
        <v>5188</v>
      </c>
      <c r="E99" s="21">
        <v>4800</v>
      </c>
    </row>
    <row r="100" spans="1:5" ht="14.25" customHeight="1" x14ac:dyDescent="0.2">
      <c r="A100" s="14">
        <v>43956</v>
      </c>
      <c r="B100" s="5" t="s">
        <v>17</v>
      </c>
      <c r="C100" s="21">
        <v>20</v>
      </c>
      <c r="D100" s="21">
        <v>1757</v>
      </c>
      <c r="E100" s="21">
        <v>1596</v>
      </c>
    </row>
    <row r="101" spans="1:5" ht="14.25" customHeight="1" x14ac:dyDescent="0.2">
      <c r="A101" s="14">
        <v>43956</v>
      </c>
      <c r="B101" s="5" t="s">
        <v>10</v>
      </c>
      <c r="C101" s="21">
        <v>20</v>
      </c>
      <c r="D101" s="21">
        <v>1773</v>
      </c>
      <c r="E101" s="21">
        <v>1604</v>
      </c>
    </row>
    <row r="102" spans="1:5" ht="14.25" customHeight="1" x14ac:dyDescent="0.2">
      <c r="A102" s="14">
        <v>43956</v>
      </c>
      <c r="B102" s="5" t="s">
        <v>20</v>
      </c>
      <c r="C102" s="21">
        <v>19</v>
      </c>
      <c r="D102" s="21">
        <v>1622</v>
      </c>
      <c r="E102" s="21">
        <v>1482</v>
      </c>
    </row>
    <row r="103" spans="1:5" ht="14.25" customHeight="1" x14ac:dyDescent="0.2">
      <c r="A103" s="14">
        <v>43956</v>
      </c>
      <c r="B103" s="5" t="s">
        <v>22</v>
      </c>
      <c r="C103" s="21">
        <v>54</v>
      </c>
      <c r="D103" s="21">
        <v>12775</v>
      </c>
      <c r="E103" s="21">
        <v>11887</v>
      </c>
    </row>
    <row r="104" spans="1:5" ht="14.25" customHeight="1" x14ac:dyDescent="0.2">
      <c r="A104" s="14">
        <v>43956</v>
      </c>
      <c r="B104" s="5" t="s">
        <v>21</v>
      </c>
      <c r="C104" s="21">
        <v>59</v>
      </c>
      <c r="D104" s="21">
        <v>13469</v>
      </c>
      <c r="E104" s="21">
        <v>12486</v>
      </c>
    </row>
    <row r="105" spans="1:5" ht="14.25" customHeight="1" x14ac:dyDescent="0.2">
      <c r="A105" s="14">
        <v>43956</v>
      </c>
      <c r="B105" s="5" t="s">
        <v>13</v>
      </c>
      <c r="C105" s="21">
        <v>19</v>
      </c>
      <c r="D105" s="21">
        <v>1417</v>
      </c>
      <c r="E105" s="21">
        <v>1245</v>
      </c>
    </row>
    <row r="106" spans="1:5" ht="14.25" customHeight="1" x14ac:dyDescent="0.2">
      <c r="A106" s="14">
        <v>43956</v>
      </c>
      <c r="B106" s="5" t="s">
        <v>23</v>
      </c>
      <c r="C106" s="21">
        <v>15</v>
      </c>
      <c r="D106" s="21">
        <v>750</v>
      </c>
      <c r="E106" s="21">
        <v>658</v>
      </c>
    </row>
    <row r="107" spans="1:5" ht="14.25" customHeight="1" x14ac:dyDescent="0.2">
      <c r="A107" s="14">
        <v>43956</v>
      </c>
      <c r="B107" s="5" t="s">
        <v>18</v>
      </c>
      <c r="C107" s="21">
        <v>15</v>
      </c>
      <c r="D107" s="21">
        <v>922</v>
      </c>
      <c r="E107" s="21">
        <v>823</v>
      </c>
    </row>
    <row r="108" spans="1:5" ht="14.25" customHeight="1" x14ac:dyDescent="0.2">
      <c r="A108" s="14">
        <v>43956</v>
      </c>
      <c r="B108" s="5" t="s">
        <v>19</v>
      </c>
      <c r="C108" s="21">
        <v>15</v>
      </c>
      <c r="D108" s="21">
        <v>455</v>
      </c>
      <c r="E108" s="21">
        <v>381</v>
      </c>
    </row>
    <row r="109" spans="1:5" ht="14.25" customHeight="1" x14ac:dyDescent="0.2">
      <c r="A109" s="14">
        <v>43956</v>
      </c>
      <c r="B109" s="5" t="s">
        <v>15</v>
      </c>
      <c r="C109" s="21">
        <v>125</v>
      </c>
      <c r="D109" s="21">
        <v>18944</v>
      </c>
      <c r="E109" s="21">
        <v>17541</v>
      </c>
    </row>
    <row r="110" spans="1:5" ht="14.25" customHeight="1" x14ac:dyDescent="0.2">
      <c r="A110" s="14">
        <v>43956</v>
      </c>
      <c r="B110" s="5" t="s">
        <v>14</v>
      </c>
      <c r="C110" s="21">
        <v>129</v>
      </c>
      <c r="D110" s="21">
        <v>15665</v>
      </c>
      <c r="E110" s="21">
        <v>14501</v>
      </c>
    </row>
    <row r="111" spans="1:5" ht="14.25" customHeight="1" x14ac:dyDescent="0.2">
      <c r="A111" s="14">
        <v>43956</v>
      </c>
      <c r="B111" s="5" t="s">
        <v>12</v>
      </c>
      <c r="C111" s="21">
        <v>10</v>
      </c>
      <c r="D111" s="21">
        <v>511</v>
      </c>
      <c r="E111" s="21">
        <v>437</v>
      </c>
    </row>
    <row r="112" spans="1:5" ht="14.25" customHeight="1" x14ac:dyDescent="0.2">
      <c r="A112" s="14">
        <v>43957</v>
      </c>
      <c r="B112" s="5" t="s">
        <v>16</v>
      </c>
      <c r="C112" s="21">
        <v>36</v>
      </c>
      <c r="D112" s="21">
        <v>4384</v>
      </c>
      <c r="E112" s="21">
        <v>4025</v>
      </c>
    </row>
    <row r="113" spans="1:5" ht="14.25" customHeight="1" x14ac:dyDescent="0.2">
      <c r="A113" s="14">
        <v>43957</v>
      </c>
      <c r="B113" s="5" t="s">
        <v>11</v>
      </c>
      <c r="C113" s="21">
        <v>31</v>
      </c>
      <c r="D113" s="21">
        <v>4709</v>
      </c>
      <c r="E113" s="21">
        <v>4348</v>
      </c>
    </row>
    <row r="114" spans="1:5" ht="14.25" customHeight="1" x14ac:dyDescent="0.2">
      <c r="A114" s="14">
        <v>43957</v>
      </c>
      <c r="B114" s="5" t="s">
        <v>17</v>
      </c>
      <c r="C114" s="21">
        <v>20</v>
      </c>
      <c r="D114" s="21">
        <v>1747</v>
      </c>
      <c r="E114" s="21">
        <v>1570</v>
      </c>
    </row>
    <row r="115" spans="1:5" ht="14.25" customHeight="1" x14ac:dyDescent="0.2">
      <c r="A115" s="14">
        <v>43957</v>
      </c>
      <c r="B115" s="5" t="s">
        <v>10</v>
      </c>
      <c r="C115" s="21">
        <v>20</v>
      </c>
      <c r="D115" s="21">
        <v>1784</v>
      </c>
      <c r="E115" s="21">
        <v>1632</v>
      </c>
    </row>
    <row r="116" spans="1:5" ht="14.25" customHeight="1" x14ac:dyDescent="0.2">
      <c r="A116" s="14">
        <v>43957</v>
      </c>
      <c r="B116" s="5" t="s">
        <v>20</v>
      </c>
      <c r="C116" s="21">
        <v>19</v>
      </c>
      <c r="D116" s="21">
        <v>1509</v>
      </c>
      <c r="E116" s="21">
        <v>1374</v>
      </c>
    </row>
    <row r="117" spans="1:5" ht="14.25" customHeight="1" x14ac:dyDescent="0.2">
      <c r="A117" s="14">
        <v>43957</v>
      </c>
      <c r="B117" s="5" t="s">
        <v>22</v>
      </c>
      <c r="C117" s="21">
        <v>54</v>
      </c>
      <c r="D117" s="21">
        <v>13406</v>
      </c>
      <c r="E117" s="21">
        <v>12518</v>
      </c>
    </row>
    <row r="118" spans="1:5" ht="14.25" customHeight="1" x14ac:dyDescent="0.2">
      <c r="A118" s="14">
        <v>43957</v>
      </c>
      <c r="B118" s="5" t="s">
        <v>21</v>
      </c>
      <c r="C118" s="21">
        <v>59</v>
      </c>
      <c r="D118" s="21">
        <v>14103</v>
      </c>
      <c r="E118" s="21">
        <v>13118</v>
      </c>
    </row>
    <row r="119" spans="1:5" ht="14.25" customHeight="1" x14ac:dyDescent="0.2">
      <c r="A119" s="14">
        <v>43957</v>
      </c>
      <c r="B119" s="5" t="s">
        <v>13</v>
      </c>
      <c r="C119" s="21">
        <v>19</v>
      </c>
      <c r="D119" s="21">
        <v>1499</v>
      </c>
      <c r="E119" s="21">
        <v>1323</v>
      </c>
    </row>
    <row r="120" spans="1:5" ht="14.25" customHeight="1" x14ac:dyDescent="0.2">
      <c r="A120" s="14">
        <v>43957</v>
      </c>
      <c r="B120" s="5" t="s">
        <v>23</v>
      </c>
      <c r="C120" s="21">
        <v>15</v>
      </c>
      <c r="D120" s="21">
        <v>701</v>
      </c>
      <c r="E120" s="21">
        <v>611</v>
      </c>
    </row>
    <row r="121" spans="1:5" ht="14.25" customHeight="1" x14ac:dyDescent="0.2">
      <c r="A121" s="14">
        <v>43957</v>
      </c>
      <c r="B121" s="5" t="s">
        <v>18</v>
      </c>
      <c r="C121" s="21">
        <v>15</v>
      </c>
      <c r="D121" s="21">
        <v>839</v>
      </c>
      <c r="E121" s="21">
        <v>733</v>
      </c>
    </row>
    <row r="122" spans="1:5" ht="14.25" customHeight="1" x14ac:dyDescent="0.2">
      <c r="A122" s="14">
        <v>43957</v>
      </c>
      <c r="B122" s="5" t="s">
        <v>19</v>
      </c>
      <c r="C122" s="21">
        <v>15</v>
      </c>
      <c r="D122" s="21">
        <v>467</v>
      </c>
      <c r="E122" s="21">
        <v>389</v>
      </c>
    </row>
    <row r="123" spans="1:5" ht="14.25" customHeight="1" x14ac:dyDescent="0.2">
      <c r="A123" s="14">
        <v>43957</v>
      </c>
      <c r="B123" s="5" t="s">
        <v>15</v>
      </c>
      <c r="C123" s="21">
        <v>125</v>
      </c>
      <c r="D123" s="21">
        <v>20218</v>
      </c>
      <c r="E123" s="21">
        <v>18647</v>
      </c>
    </row>
    <row r="124" spans="1:5" ht="14.25" customHeight="1" x14ac:dyDescent="0.2">
      <c r="A124" s="14">
        <v>43957</v>
      </c>
      <c r="B124" s="5" t="s">
        <v>14</v>
      </c>
      <c r="C124" s="21">
        <v>129</v>
      </c>
      <c r="D124" s="21">
        <v>16376</v>
      </c>
      <c r="E124" s="21">
        <v>15197</v>
      </c>
    </row>
    <row r="125" spans="1:5" ht="14.25" customHeight="1" x14ac:dyDescent="0.2">
      <c r="A125" s="14">
        <v>43957</v>
      </c>
      <c r="B125" s="5" t="s">
        <v>12</v>
      </c>
      <c r="C125" s="21">
        <v>10</v>
      </c>
      <c r="D125" s="21">
        <v>465</v>
      </c>
      <c r="E125" s="21">
        <v>390</v>
      </c>
    </row>
    <row r="126" spans="1:5" ht="14.25" customHeight="1" x14ac:dyDescent="0.2">
      <c r="A126" s="14">
        <v>43958</v>
      </c>
      <c r="B126" s="5" t="s">
        <v>16</v>
      </c>
      <c r="C126" s="21">
        <v>36</v>
      </c>
      <c r="D126" s="21">
        <v>4826</v>
      </c>
      <c r="E126" s="21">
        <v>4426</v>
      </c>
    </row>
    <row r="127" spans="1:5" ht="14.25" customHeight="1" x14ac:dyDescent="0.2">
      <c r="A127" s="14">
        <v>43958</v>
      </c>
      <c r="B127" s="5" t="s">
        <v>11</v>
      </c>
      <c r="C127" s="21">
        <v>31</v>
      </c>
      <c r="D127" s="21">
        <v>4903</v>
      </c>
      <c r="E127" s="21">
        <v>4527</v>
      </c>
    </row>
    <row r="128" spans="1:5" ht="14.25" customHeight="1" x14ac:dyDescent="0.2">
      <c r="A128" s="14">
        <v>43958</v>
      </c>
      <c r="B128" s="5" t="s">
        <v>17</v>
      </c>
      <c r="C128" s="21">
        <v>21</v>
      </c>
      <c r="D128" s="21">
        <v>1879</v>
      </c>
      <c r="E128" s="21">
        <v>1695</v>
      </c>
    </row>
    <row r="129" spans="1:5" ht="14.25" customHeight="1" x14ac:dyDescent="0.2">
      <c r="A129" s="14">
        <v>43958</v>
      </c>
      <c r="B129" s="5" t="s">
        <v>10</v>
      </c>
      <c r="C129" s="21">
        <v>21</v>
      </c>
      <c r="D129" s="21">
        <v>1542</v>
      </c>
      <c r="E129" s="21">
        <v>1405</v>
      </c>
    </row>
    <row r="130" spans="1:5" ht="14.25" customHeight="1" x14ac:dyDescent="0.2">
      <c r="A130" s="14">
        <v>43958</v>
      </c>
      <c r="B130" s="5" t="s">
        <v>20</v>
      </c>
      <c r="C130" s="21">
        <v>19</v>
      </c>
      <c r="D130" s="21">
        <v>1580</v>
      </c>
      <c r="E130" s="21">
        <v>1435</v>
      </c>
    </row>
    <row r="131" spans="1:5" ht="14.25" customHeight="1" x14ac:dyDescent="0.2">
      <c r="A131" s="14">
        <v>43958</v>
      </c>
      <c r="B131" s="5" t="s">
        <v>22</v>
      </c>
      <c r="C131" s="21">
        <v>54</v>
      </c>
      <c r="D131" s="21">
        <v>12743</v>
      </c>
      <c r="E131" s="21">
        <v>11858</v>
      </c>
    </row>
    <row r="132" spans="1:5" ht="14.25" customHeight="1" x14ac:dyDescent="0.2">
      <c r="A132" s="14">
        <v>43958</v>
      </c>
      <c r="B132" s="5" t="s">
        <v>21</v>
      </c>
      <c r="C132" s="21">
        <v>59</v>
      </c>
      <c r="D132" s="21">
        <v>13495</v>
      </c>
      <c r="E132" s="21">
        <v>12517</v>
      </c>
    </row>
    <row r="133" spans="1:5" ht="14.25" customHeight="1" x14ac:dyDescent="0.2">
      <c r="A133" s="14">
        <v>43958</v>
      </c>
      <c r="B133" s="5" t="s">
        <v>13</v>
      </c>
      <c r="C133" s="21">
        <v>19</v>
      </c>
      <c r="D133" s="21">
        <v>1530</v>
      </c>
      <c r="E133" s="21">
        <v>1338</v>
      </c>
    </row>
    <row r="134" spans="1:5" ht="14.25" customHeight="1" x14ac:dyDescent="0.2">
      <c r="A134" s="14">
        <v>43958</v>
      </c>
      <c r="B134" s="5" t="s">
        <v>23</v>
      </c>
      <c r="C134" s="21">
        <v>15</v>
      </c>
      <c r="D134" s="21">
        <v>676</v>
      </c>
      <c r="E134" s="21">
        <v>591</v>
      </c>
    </row>
    <row r="135" spans="1:5" ht="14.25" customHeight="1" x14ac:dyDescent="0.2">
      <c r="A135" s="14">
        <v>43958</v>
      </c>
      <c r="B135" s="5" t="s">
        <v>18</v>
      </c>
      <c r="C135" s="21">
        <v>15</v>
      </c>
      <c r="D135" s="21">
        <v>805</v>
      </c>
      <c r="E135" s="21">
        <v>703</v>
      </c>
    </row>
    <row r="136" spans="1:5" ht="14.25" customHeight="1" x14ac:dyDescent="0.2">
      <c r="A136" s="14">
        <v>43958</v>
      </c>
      <c r="B136" s="5" t="s">
        <v>19</v>
      </c>
      <c r="C136" s="21">
        <v>15</v>
      </c>
      <c r="D136" s="21">
        <v>480</v>
      </c>
      <c r="E136" s="21">
        <v>398</v>
      </c>
    </row>
    <row r="137" spans="1:5" ht="14.25" customHeight="1" x14ac:dyDescent="0.2">
      <c r="A137" s="14">
        <v>43958</v>
      </c>
      <c r="B137" s="5" t="s">
        <v>15</v>
      </c>
      <c r="C137" s="21">
        <v>125</v>
      </c>
      <c r="D137" s="21">
        <v>18014</v>
      </c>
      <c r="E137" s="21">
        <v>16675</v>
      </c>
    </row>
    <row r="138" spans="1:5" ht="14.25" customHeight="1" x14ac:dyDescent="0.2">
      <c r="A138" s="14">
        <v>43958</v>
      </c>
      <c r="B138" s="5" t="s">
        <v>14</v>
      </c>
      <c r="C138" s="21">
        <v>129</v>
      </c>
      <c r="D138" s="21">
        <v>14582</v>
      </c>
      <c r="E138" s="21">
        <v>13512</v>
      </c>
    </row>
    <row r="139" spans="1:5" ht="14.25" customHeight="1" x14ac:dyDescent="0.2">
      <c r="A139" s="14">
        <v>43958</v>
      </c>
      <c r="B139" s="5" t="s">
        <v>12</v>
      </c>
      <c r="C139" s="21">
        <v>10</v>
      </c>
      <c r="D139" s="21">
        <v>563</v>
      </c>
      <c r="E139" s="21">
        <v>486</v>
      </c>
    </row>
    <row r="140" spans="1:5" ht="14.25" customHeight="1" x14ac:dyDescent="0.2">
      <c r="A140" s="14">
        <v>43959</v>
      </c>
      <c r="B140" s="5" t="s">
        <v>16</v>
      </c>
      <c r="C140" s="21">
        <v>36</v>
      </c>
      <c r="D140" s="21">
        <v>4199</v>
      </c>
      <c r="E140" s="21">
        <v>3867</v>
      </c>
    </row>
    <row r="141" spans="1:5" ht="14.25" customHeight="1" x14ac:dyDescent="0.2">
      <c r="A141" s="14">
        <v>43959</v>
      </c>
      <c r="B141" s="5" t="s">
        <v>11</v>
      </c>
      <c r="C141" s="21">
        <v>31</v>
      </c>
      <c r="D141" s="21">
        <v>4635</v>
      </c>
      <c r="E141" s="21">
        <v>4266</v>
      </c>
    </row>
    <row r="142" spans="1:5" ht="14.25" customHeight="1" x14ac:dyDescent="0.2">
      <c r="A142" s="14">
        <v>43959</v>
      </c>
      <c r="B142" s="5" t="s">
        <v>17</v>
      </c>
      <c r="C142" s="21">
        <v>21</v>
      </c>
      <c r="D142" s="21">
        <v>1957</v>
      </c>
      <c r="E142" s="21">
        <v>1755</v>
      </c>
    </row>
    <row r="143" spans="1:5" ht="14.25" customHeight="1" x14ac:dyDescent="0.2">
      <c r="A143" s="14">
        <v>43959</v>
      </c>
      <c r="B143" s="5" t="s">
        <v>10</v>
      </c>
      <c r="C143" s="21">
        <v>21</v>
      </c>
      <c r="D143" s="21">
        <v>1646</v>
      </c>
      <c r="E143" s="21">
        <v>1492</v>
      </c>
    </row>
    <row r="144" spans="1:5" ht="14.25" customHeight="1" x14ac:dyDescent="0.2">
      <c r="A144" s="14">
        <v>43959</v>
      </c>
      <c r="B144" s="5" t="s">
        <v>20</v>
      </c>
      <c r="C144" s="21">
        <v>19</v>
      </c>
      <c r="D144" s="21">
        <v>1520</v>
      </c>
      <c r="E144" s="21">
        <v>1380</v>
      </c>
    </row>
    <row r="145" spans="1:5" ht="14.25" customHeight="1" x14ac:dyDescent="0.2">
      <c r="A145" s="14">
        <v>43959</v>
      </c>
      <c r="B145" s="5" t="s">
        <v>22</v>
      </c>
      <c r="C145" s="21">
        <v>54</v>
      </c>
      <c r="D145" s="21">
        <v>13563</v>
      </c>
      <c r="E145" s="21">
        <v>12604</v>
      </c>
    </row>
    <row r="146" spans="1:5" ht="14.25" customHeight="1" x14ac:dyDescent="0.2">
      <c r="A146" s="14">
        <v>43959</v>
      </c>
      <c r="B146" s="5" t="s">
        <v>21</v>
      </c>
      <c r="C146" s="21">
        <v>59</v>
      </c>
      <c r="D146" s="21">
        <v>14098</v>
      </c>
      <c r="E146" s="21">
        <v>13106</v>
      </c>
    </row>
    <row r="147" spans="1:5" ht="14.25" customHeight="1" x14ac:dyDescent="0.2">
      <c r="A147" s="14">
        <v>43959</v>
      </c>
      <c r="B147" s="5" t="s">
        <v>13</v>
      </c>
      <c r="C147" s="21">
        <v>19</v>
      </c>
      <c r="D147" s="21">
        <v>1522</v>
      </c>
      <c r="E147" s="21">
        <v>1340</v>
      </c>
    </row>
    <row r="148" spans="1:5" ht="14.25" customHeight="1" x14ac:dyDescent="0.2">
      <c r="A148" s="14">
        <v>43959</v>
      </c>
      <c r="B148" s="5" t="s">
        <v>23</v>
      </c>
      <c r="C148" s="21">
        <v>15</v>
      </c>
      <c r="D148" s="21">
        <v>703</v>
      </c>
      <c r="E148" s="21">
        <v>609</v>
      </c>
    </row>
    <row r="149" spans="1:5" ht="14.25" customHeight="1" x14ac:dyDescent="0.2">
      <c r="A149" s="14">
        <v>43959</v>
      </c>
      <c r="B149" s="5" t="s">
        <v>18</v>
      </c>
      <c r="C149" s="21">
        <v>15</v>
      </c>
      <c r="D149" s="21">
        <v>879</v>
      </c>
      <c r="E149" s="21">
        <v>768</v>
      </c>
    </row>
    <row r="150" spans="1:5" ht="14.25" customHeight="1" x14ac:dyDescent="0.2">
      <c r="A150" s="14">
        <v>43959</v>
      </c>
      <c r="B150" s="5" t="s">
        <v>19</v>
      </c>
      <c r="C150" s="21">
        <v>15</v>
      </c>
      <c r="D150" s="21">
        <v>492</v>
      </c>
      <c r="E150" s="21">
        <v>412</v>
      </c>
    </row>
    <row r="151" spans="1:5" ht="14.25" customHeight="1" x14ac:dyDescent="0.2">
      <c r="A151" s="14">
        <v>43959</v>
      </c>
      <c r="B151" s="5" t="s">
        <v>15</v>
      </c>
      <c r="C151" s="21">
        <v>125</v>
      </c>
      <c r="D151" s="21">
        <v>24620</v>
      </c>
      <c r="E151" s="21">
        <v>22641</v>
      </c>
    </row>
    <row r="152" spans="1:5" ht="14.25" customHeight="1" x14ac:dyDescent="0.2">
      <c r="A152" s="14">
        <v>43959</v>
      </c>
      <c r="B152" s="5" t="s">
        <v>14</v>
      </c>
      <c r="C152" s="21">
        <v>129</v>
      </c>
      <c r="D152" s="21">
        <v>20452</v>
      </c>
      <c r="E152" s="21">
        <v>18857</v>
      </c>
    </row>
    <row r="153" spans="1:5" ht="14.25" customHeight="1" x14ac:dyDescent="0.2">
      <c r="A153" s="14">
        <v>43959</v>
      </c>
      <c r="B153" s="5" t="s">
        <v>12</v>
      </c>
      <c r="C153" s="21">
        <v>10</v>
      </c>
      <c r="D153" s="21">
        <v>638</v>
      </c>
      <c r="E153" s="21">
        <v>547</v>
      </c>
    </row>
    <row r="154" spans="1:5" ht="14.25" customHeight="1" x14ac:dyDescent="0.2">
      <c r="A154" s="14">
        <v>43960</v>
      </c>
      <c r="B154" s="5" t="s">
        <v>16</v>
      </c>
      <c r="C154" s="21">
        <v>36</v>
      </c>
      <c r="D154" s="21">
        <v>5413</v>
      </c>
      <c r="E154" s="21">
        <v>4959</v>
      </c>
    </row>
    <row r="155" spans="1:5" ht="14.25" customHeight="1" x14ac:dyDescent="0.2">
      <c r="A155" s="14">
        <v>43960</v>
      </c>
      <c r="B155" s="5" t="s">
        <v>11</v>
      </c>
      <c r="C155" s="21">
        <v>31</v>
      </c>
      <c r="D155" s="21">
        <v>4556</v>
      </c>
      <c r="E155" s="21">
        <v>4220</v>
      </c>
    </row>
    <row r="156" spans="1:5" ht="14.25" customHeight="1" x14ac:dyDescent="0.2">
      <c r="A156" s="14">
        <v>43960</v>
      </c>
      <c r="B156" s="5" t="s">
        <v>17</v>
      </c>
      <c r="C156" s="21">
        <v>21</v>
      </c>
      <c r="D156" s="21">
        <v>1891</v>
      </c>
      <c r="E156" s="21">
        <v>1709</v>
      </c>
    </row>
    <row r="157" spans="1:5" ht="14.25" customHeight="1" x14ac:dyDescent="0.2">
      <c r="A157" s="14">
        <v>43960</v>
      </c>
      <c r="B157" s="5" t="s">
        <v>10</v>
      </c>
      <c r="C157" s="21">
        <v>21</v>
      </c>
      <c r="D157" s="21">
        <v>1735</v>
      </c>
      <c r="E157" s="21">
        <v>1568</v>
      </c>
    </row>
    <row r="158" spans="1:5" ht="14.25" customHeight="1" x14ac:dyDescent="0.2">
      <c r="A158" s="14">
        <v>43960</v>
      </c>
      <c r="B158" s="5" t="s">
        <v>20</v>
      </c>
      <c r="C158" s="21">
        <v>19</v>
      </c>
      <c r="D158" s="21">
        <v>1542</v>
      </c>
      <c r="E158" s="21">
        <v>1412</v>
      </c>
    </row>
    <row r="159" spans="1:5" ht="14.25" customHeight="1" x14ac:dyDescent="0.2">
      <c r="A159" s="14">
        <v>43960</v>
      </c>
      <c r="B159" s="5" t="s">
        <v>22</v>
      </c>
      <c r="C159" s="21">
        <v>54</v>
      </c>
      <c r="D159" s="21">
        <v>11288</v>
      </c>
      <c r="E159" s="21">
        <v>10492</v>
      </c>
    </row>
    <row r="160" spans="1:5" ht="14.25" customHeight="1" x14ac:dyDescent="0.2">
      <c r="A160" s="14">
        <v>43960</v>
      </c>
      <c r="B160" s="5" t="s">
        <v>21</v>
      </c>
      <c r="C160" s="21">
        <v>59</v>
      </c>
      <c r="D160" s="21">
        <v>12016</v>
      </c>
      <c r="E160" s="21">
        <v>11137</v>
      </c>
    </row>
    <row r="161" spans="1:5" ht="14.25" customHeight="1" x14ac:dyDescent="0.2">
      <c r="A161" s="14">
        <v>43960</v>
      </c>
      <c r="B161" s="5" t="s">
        <v>13</v>
      </c>
      <c r="C161" s="21">
        <v>19</v>
      </c>
      <c r="D161" s="21">
        <v>1851</v>
      </c>
      <c r="E161" s="21">
        <v>1635</v>
      </c>
    </row>
    <row r="162" spans="1:5" ht="14.25" customHeight="1" x14ac:dyDescent="0.2">
      <c r="A162" s="14">
        <v>43960</v>
      </c>
      <c r="B162" s="5" t="s">
        <v>23</v>
      </c>
      <c r="C162" s="21">
        <v>15</v>
      </c>
      <c r="D162" s="21">
        <v>654</v>
      </c>
      <c r="E162" s="21">
        <v>570</v>
      </c>
    </row>
    <row r="163" spans="1:5" ht="14.25" customHeight="1" x14ac:dyDescent="0.2">
      <c r="A163" s="14">
        <v>43960</v>
      </c>
      <c r="B163" s="5" t="s">
        <v>18</v>
      </c>
      <c r="C163" s="21">
        <v>15</v>
      </c>
      <c r="D163" s="21">
        <v>849</v>
      </c>
      <c r="E163" s="21">
        <v>740</v>
      </c>
    </row>
    <row r="164" spans="1:5" ht="14.25" customHeight="1" x14ac:dyDescent="0.2">
      <c r="A164" s="14">
        <v>43960</v>
      </c>
      <c r="B164" s="5" t="s">
        <v>19</v>
      </c>
      <c r="C164" s="21">
        <v>15</v>
      </c>
      <c r="D164" s="21">
        <v>623</v>
      </c>
      <c r="E164" s="21">
        <v>535</v>
      </c>
    </row>
    <row r="165" spans="1:5" ht="14.25" customHeight="1" x14ac:dyDescent="0.2">
      <c r="A165" s="14">
        <v>43960</v>
      </c>
      <c r="B165" s="5" t="s">
        <v>15</v>
      </c>
      <c r="C165" s="21">
        <v>125</v>
      </c>
      <c r="D165" s="21">
        <v>20132</v>
      </c>
      <c r="E165" s="21">
        <v>18617</v>
      </c>
    </row>
    <row r="166" spans="1:5" ht="14.25" customHeight="1" x14ac:dyDescent="0.2">
      <c r="A166" s="14">
        <v>43960</v>
      </c>
      <c r="B166" s="5" t="s">
        <v>14</v>
      </c>
      <c r="C166" s="21">
        <v>129</v>
      </c>
      <c r="D166" s="21">
        <v>16420</v>
      </c>
      <c r="E166" s="21">
        <v>15169</v>
      </c>
    </row>
    <row r="167" spans="1:5" ht="14.25" customHeight="1" x14ac:dyDescent="0.2">
      <c r="A167" s="14">
        <v>43960</v>
      </c>
      <c r="B167" s="5" t="s">
        <v>12</v>
      </c>
      <c r="C167" s="21">
        <v>10</v>
      </c>
      <c r="D167" s="21">
        <v>644</v>
      </c>
      <c r="E167" s="21">
        <v>559</v>
      </c>
    </row>
    <row r="168" spans="1:5" ht="14.25" customHeight="1" x14ac:dyDescent="0.2">
      <c r="A168" s="14">
        <v>43961</v>
      </c>
      <c r="B168" s="5" t="s">
        <v>16</v>
      </c>
      <c r="C168" s="21">
        <v>36</v>
      </c>
      <c r="D168" s="21">
        <v>5746</v>
      </c>
      <c r="E168" s="21">
        <v>5277</v>
      </c>
    </row>
    <row r="169" spans="1:5" ht="14.25" customHeight="1" x14ac:dyDescent="0.2">
      <c r="A169" s="14">
        <v>43961</v>
      </c>
      <c r="B169" s="5" t="s">
        <v>11</v>
      </c>
      <c r="C169" s="21">
        <v>31</v>
      </c>
      <c r="D169" s="21">
        <v>5495</v>
      </c>
      <c r="E169" s="21">
        <v>5093</v>
      </c>
    </row>
    <row r="170" spans="1:5" ht="14.25" customHeight="1" x14ac:dyDescent="0.2">
      <c r="A170" s="14">
        <v>43961</v>
      </c>
      <c r="B170" s="5" t="s">
        <v>17</v>
      </c>
      <c r="C170" s="21">
        <v>21</v>
      </c>
      <c r="D170" s="21">
        <v>2120</v>
      </c>
      <c r="E170" s="21">
        <v>1921</v>
      </c>
    </row>
    <row r="171" spans="1:5" ht="14.25" customHeight="1" x14ac:dyDescent="0.2">
      <c r="A171" s="14">
        <v>43961</v>
      </c>
      <c r="B171" s="5" t="s">
        <v>10</v>
      </c>
      <c r="C171" s="21">
        <v>21</v>
      </c>
      <c r="D171" s="21">
        <v>2016</v>
      </c>
      <c r="E171" s="21">
        <v>1846</v>
      </c>
    </row>
    <row r="172" spans="1:5" ht="14.25" customHeight="1" x14ac:dyDescent="0.2">
      <c r="A172" s="14">
        <v>43961</v>
      </c>
      <c r="B172" s="5" t="s">
        <v>20</v>
      </c>
      <c r="C172" s="21">
        <v>19</v>
      </c>
      <c r="D172" s="21">
        <v>1836</v>
      </c>
      <c r="E172" s="21">
        <v>1680</v>
      </c>
    </row>
    <row r="173" spans="1:5" ht="14.25" customHeight="1" x14ac:dyDescent="0.2">
      <c r="A173" s="14">
        <v>43961</v>
      </c>
      <c r="B173" s="5" t="s">
        <v>22</v>
      </c>
      <c r="C173" s="21">
        <v>54</v>
      </c>
      <c r="D173" s="21">
        <v>13832</v>
      </c>
      <c r="E173" s="21">
        <v>12864</v>
      </c>
    </row>
    <row r="174" spans="1:5" ht="14.25" customHeight="1" x14ac:dyDescent="0.2">
      <c r="A174" s="14">
        <v>43961</v>
      </c>
      <c r="B174" s="5" t="s">
        <v>21</v>
      </c>
      <c r="C174" s="21">
        <v>59</v>
      </c>
      <c r="D174" s="21">
        <v>14569</v>
      </c>
      <c r="E174" s="21">
        <v>13566</v>
      </c>
    </row>
    <row r="175" spans="1:5" ht="14.25" customHeight="1" x14ac:dyDescent="0.2">
      <c r="A175" s="14">
        <v>43961</v>
      </c>
      <c r="B175" s="5" t="s">
        <v>13</v>
      </c>
      <c r="C175" s="21">
        <v>19</v>
      </c>
      <c r="D175" s="21">
        <v>1848</v>
      </c>
      <c r="E175" s="21">
        <v>1649</v>
      </c>
    </row>
    <row r="176" spans="1:5" ht="14.25" customHeight="1" x14ac:dyDescent="0.2">
      <c r="A176" s="14">
        <v>43961</v>
      </c>
      <c r="B176" s="5" t="s">
        <v>23</v>
      </c>
      <c r="C176" s="21">
        <v>15</v>
      </c>
      <c r="D176" s="21">
        <v>792</v>
      </c>
      <c r="E176" s="21">
        <v>695</v>
      </c>
    </row>
    <row r="177" spans="1:5" ht="14.25" customHeight="1" x14ac:dyDescent="0.2">
      <c r="A177" s="14">
        <v>43961</v>
      </c>
      <c r="B177" s="5" t="s">
        <v>18</v>
      </c>
      <c r="C177" s="21">
        <v>15</v>
      </c>
      <c r="D177" s="21">
        <v>950</v>
      </c>
      <c r="E177" s="21">
        <v>848</v>
      </c>
    </row>
    <row r="178" spans="1:5" ht="14.25" customHeight="1" x14ac:dyDescent="0.2">
      <c r="A178" s="14">
        <v>43961</v>
      </c>
      <c r="B178" s="5" t="s">
        <v>19</v>
      </c>
      <c r="C178" s="21">
        <v>15</v>
      </c>
      <c r="D178" s="21">
        <v>706</v>
      </c>
      <c r="E178" s="21">
        <v>608</v>
      </c>
    </row>
    <row r="179" spans="1:5" ht="14.25" customHeight="1" x14ac:dyDescent="0.2">
      <c r="A179" s="14">
        <v>43961</v>
      </c>
      <c r="B179" s="5" t="s">
        <v>15</v>
      </c>
      <c r="C179" s="21">
        <v>125</v>
      </c>
      <c r="D179" s="21">
        <v>20368</v>
      </c>
      <c r="E179" s="21">
        <v>18884</v>
      </c>
    </row>
    <row r="180" spans="1:5" ht="14.25" customHeight="1" x14ac:dyDescent="0.2">
      <c r="A180" s="14">
        <v>43961</v>
      </c>
      <c r="B180" s="5" t="s">
        <v>14</v>
      </c>
      <c r="C180" s="21">
        <v>129</v>
      </c>
      <c r="D180" s="21">
        <v>16437</v>
      </c>
      <c r="E180" s="21">
        <v>15285</v>
      </c>
    </row>
    <row r="181" spans="1:5" ht="14.25" customHeight="1" x14ac:dyDescent="0.2">
      <c r="A181" s="14">
        <v>43961</v>
      </c>
      <c r="B181" s="5" t="s">
        <v>12</v>
      </c>
      <c r="C181" s="21">
        <v>10</v>
      </c>
      <c r="D181" s="21">
        <v>642</v>
      </c>
      <c r="E181" s="21">
        <v>556</v>
      </c>
    </row>
    <row r="182" spans="1:5" ht="14.25" customHeight="1" x14ac:dyDescent="0.2">
      <c r="A182" s="14">
        <v>43962</v>
      </c>
      <c r="B182" s="5" t="s">
        <v>16</v>
      </c>
      <c r="C182" s="21">
        <v>36</v>
      </c>
      <c r="D182" s="21">
        <v>4150</v>
      </c>
      <c r="E182" s="21">
        <v>3838</v>
      </c>
    </row>
    <row r="183" spans="1:5" ht="14.25" customHeight="1" x14ac:dyDescent="0.2">
      <c r="A183" s="14">
        <v>43962</v>
      </c>
      <c r="B183" s="5" t="s">
        <v>11</v>
      </c>
      <c r="C183" s="21">
        <v>31</v>
      </c>
      <c r="D183" s="21">
        <v>4826</v>
      </c>
      <c r="E183" s="21">
        <v>4483</v>
      </c>
    </row>
    <row r="184" spans="1:5" ht="14.25" customHeight="1" x14ac:dyDescent="0.2">
      <c r="A184" s="14">
        <v>43962</v>
      </c>
      <c r="B184" s="5" t="s">
        <v>17</v>
      </c>
      <c r="C184" s="21">
        <v>21</v>
      </c>
      <c r="D184" s="21">
        <v>1916</v>
      </c>
      <c r="E184" s="21">
        <v>1733</v>
      </c>
    </row>
    <row r="185" spans="1:5" ht="14.25" customHeight="1" x14ac:dyDescent="0.2">
      <c r="A185" s="14">
        <v>43962</v>
      </c>
      <c r="B185" s="5" t="s">
        <v>10</v>
      </c>
      <c r="C185" s="21">
        <v>21</v>
      </c>
      <c r="D185" s="21">
        <v>1597</v>
      </c>
      <c r="E185" s="21">
        <v>1457</v>
      </c>
    </row>
    <row r="186" spans="1:5" ht="14.25" customHeight="1" x14ac:dyDescent="0.2">
      <c r="A186" s="14">
        <v>43962</v>
      </c>
      <c r="B186" s="5" t="s">
        <v>20</v>
      </c>
      <c r="C186" s="21">
        <v>19</v>
      </c>
      <c r="D186" s="21">
        <v>1527</v>
      </c>
      <c r="E186" s="21">
        <v>1389</v>
      </c>
    </row>
    <row r="187" spans="1:5" ht="14.25" customHeight="1" x14ac:dyDescent="0.2">
      <c r="A187" s="14">
        <v>43962</v>
      </c>
      <c r="B187" s="5" t="s">
        <v>22</v>
      </c>
      <c r="C187" s="21">
        <v>54</v>
      </c>
      <c r="D187" s="21">
        <v>10570</v>
      </c>
      <c r="E187" s="21">
        <v>9926</v>
      </c>
    </row>
    <row r="188" spans="1:5" ht="14.25" customHeight="1" x14ac:dyDescent="0.2">
      <c r="A188" s="14">
        <v>43962</v>
      </c>
      <c r="B188" s="5" t="s">
        <v>21</v>
      </c>
      <c r="C188" s="21">
        <v>60</v>
      </c>
      <c r="D188" s="21">
        <v>11100</v>
      </c>
      <c r="E188" s="21">
        <v>10407</v>
      </c>
    </row>
    <row r="189" spans="1:5" ht="14.25" customHeight="1" x14ac:dyDescent="0.2">
      <c r="A189" s="14">
        <v>43962</v>
      </c>
      <c r="B189" s="5" t="s">
        <v>13</v>
      </c>
      <c r="C189" s="21">
        <v>19</v>
      </c>
      <c r="D189" s="21">
        <v>2530</v>
      </c>
      <c r="E189" s="21">
        <v>2270</v>
      </c>
    </row>
    <row r="190" spans="1:5" ht="14.25" customHeight="1" x14ac:dyDescent="0.2">
      <c r="A190" s="14">
        <v>43962</v>
      </c>
      <c r="B190" s="5" t="s">
        <v>23</v>
      </c>
      <c r="C190" s="21">
        <v>15</v>
      </c>
      <c r="D190" s="21">
        <v>654</v>
      </c>
      <c r="E190" s="21">
        <v>564</v>
      </c>
    </row>
    <row r="191" spans="1:5" ht="14.25" customHeight="1" x14ac:dyDescent="0.2">
      <c r="A191" s="14">
        <v>43962</v>
      </c>
      <c r="B191" s="5" t="s">
        <v>18</v>
      </c>
      <c r="C191" s="21">
        <v>15</v>
      </c>
      <c r="D191" s="21">
        <v>812</v>
      </c>
      <c r="E191" s="21">
        <v>714</v>
      </c>
    </row>
    <row r="192" spans="1:5" ht="14.25" customHeight="1" x14ac:dyDescent="0.2">
      <c r="A192" s="14">
        <v>43962</v>
      </c>
      <c r="B192" s="5" t="s">
        <v>19</v>
      </c>
      <c r="C192" s="21">
        <v>15</v>
      </c>
      <c r="D192" s="21">
        <v>684</v>
      </c>
      <c r="E192" s="21">
        <v>585</v>
      </c>
    </row>
    <row r="193" spans="1:5" ht="14.25" customHeight="1" x14ac:dyDescent="0.2">
      <c r="A193" s="14">
        <v>43962</v>
      </c>
      <c r="B193" s="5" t="s">
        <v>15</v>
      </c>
      <c r="C193" s="21">
        <v>125</v>
      </c>
      <c r="D193" s="21">
        <v>18066</v>
      </c>
      <c r="E193" s="21">
        <v>16883</v>
      </c>
    </row>
    <row r="194" spans="1:5" ht="14.25" customHeight="1" x14ac:dyDescent="0.2">
      <c r="A194" s="14">
        <v>43962</v>
      </c>
      <c r="B194" s="5" t="s">
        <v>14</v>
      </c>
      <c r="C194" s="21">
        <v>129</v>
      </c>
      <c r="D194" s="21">
        <v>14043</v>
      </c>
      <c r="E194" s="21">
        <v>13167</v>
      </c>
    </row>
    <row r="195" spans="1:5" ht="14.25" customHeight="1" x14ac:dyDescent="0.2">
      <c r="A195" s="14">
        <v>43962</v>
      </c>
      <c r="B195" s="5" t="s">
        <v>12</v>
      </c>
      <c r="C195" s="21">
        <v>10</v>
      </c>
      <c r="D195" s="21">
        <v>494</v>
      </c>
      <c r="E195" s="21">
        <v>421</v>
      </c>
    </row>
    <row r="196" spans="1:5" ht="14.25" customHeight="1" x14ac:dyDescent="0.2">
      <c r="A196" s="14">
        <v>43963</v>
      </c>
      <c r="B196" s="5" t="s">
        <v>16</v>
      </c>
      <c r="C196" s="21">
        <v>36</v>
      </c>
      <c r="D196" s="21">
        <v>4418</v>
      </c>
      <c r="E196" s="21">
        <v>4088</v>
      </c>
    </row>
    <row r="197" spans="1:5" ht="14.25" customHeight="1" x14ac:dyDescent="0.2">
      <c r="A197" s="14">
        <v>43963</v>
      </c>
      <c r="B197" s="5" t="s">
        <v>11</v>
      </c>
      <c r="C197" s="21">
        <v>31</v>
      </c>
      <c r="D197" s="21">
        <v>4800</v>
      </c>
      <c r="E197" s="21">
        <v>4470</v>
      </c>
    </row>
    <row r="198" spans="1:5" ht="14.25" customHeight="1" x14ac:dyDescent="0.2">
      <c r="A198" s="14">
        <v>43963</v>
      </c>
      <c r="B198" s="5" t="s">
        <v>17</v>
      </c>
      <c r="C198" s="21">
        <v>21</v>
      </c>
      <c r="D198" s="21">
        <v>1926</v>
      </c>
      <c r="E198" s="21">
        <v>1745</v>
      </c>
    </row>
    <row r="199" spans="1:5" ht="14.25" customHeight="1" x14ac:dyDescent="0.2">
      <c r="A199" s="14">
        <v>43963</v>
      </c>
      <c r="B199" s="5" t="s">
        <v>10</v>
      </c>
      <c r="C199" s="21">
        <v>21</v>
      </c>
      <c r="D199" s="21">
        <v>1656</v>
      </c>
      <c r="E199" s="21">
        <v>1516</v>
      </c>
    </row>
    <row r="200" spans="1:5" ht="14.25" customHeight="1" x14ac:dyDescent="0.2">
      <c r="A200" s="14">
        <v>43963</v>
      </c>
      <c r="B200" s="5" t="s">
        <v>20</v>
      </c>
      <c r="C200" s="21">
        <v>19</v>
      </c>
      <c r="D200" s="21">
        <v>1598</v>
      </c>
      <c r="E200" s="21">
        <v>1454</v>
      </c>
    </row>
    <row r="201" spans="1:5" ht="14.25" customHeight="1" x14ac:dyDescent="0.2">
      <c r="A201" s="14">
        <v>43963</v>
      </c>
      <c r="B201" s="5" t="s">
        <v>22</v>
      </c>
      <c r="C201" s="21">
        <v>54</v>
      </c>
      <c r="D201" s="21">
        <v>11614</v>
      </c>
      <c r="E201" s="21">
        <v>10862</v>
      </c>
    </row>
    <row r="202" spans="1:5" ht="14.25" customHeight="1" x14ac:dyDescent="0.2">
      <c r="A202" s="14">
        <v>43963</v>
      </c>
      <c r="B202" s="5" t="s">
        <v>21</v>
      </c>
      <c r="C202" s="21">
        <v>60</v>
      </c>
      <c r="D202" s="21">
        <v>12000</v>
      </c>
      <c r="E202" s="21">
        <v>11194</v>
      </c>
    </row>
    <row r="203" spans="1:5" ht="14.25" customHeight="1" x14ac:dyDescent="0.2">
      <c r="A203" s="14">
        <v>43963</v>
      </c>
      <c r="B203" s="5" t="s">
        <v>13</v>
      </c>
      <c r="C203" s="21">
        <v>19</v>
      </c>
      <c r="D203" s="21">
        <v>1649</v>
      </c>
      <c r="E203" s="21">
        <v>1460</v>
      </c>
    </row>
    <row r="204" spans="1:5" ht="14.25" customHeight="1" x14ac:dyDescent="0.2">
      <c r="A204" s="14">
        <v>43963</v>
      </c>
      <c r="B204" s="5" t="s">
        <v>23</v>
      </c>
      <c r="C204" s="21">
        <v>15</v>
      </c>
      <c r="D204" s="21">
        <v>750</v>
      </c>
      <c r="E204" s="21">
        <v>659</v>
      </c>
    </row>
    <row r="205" spans="1:5" ht="14.25" customHeight="1" x14ac:dyDescent="0.2">
      <c r="A205" s="14">
        <v>43963</v>
      </c>
      <c r="B205" s="5" t="s">
        <v>18</v>
      </c>
      <c r="C205" s="21">
        <v>15</v>
      </c>
      <c r="D205" s="21">
        <v>845</v>
      </c>
      <c r="E205" s="21">
        <v>743</v>
      </c>
    </row>
    <row r="206" spans="1:5" ht="14.25" customHeight="1" x14ac:dyDescent="0.2">
      <c r="A206" s="14">
        <v>43963</v>
      </c>
      <c r="B206" s="5" t="s">
        <v>19</v>
      </c>
      <c r="C206" s="21">
        <v>15</v>
      </c>
      <c r="D206" s="21">
        <v>624</v>
      </c>
      <c r="E206" s="21">
        <v>538</v>
      </c>
    </row>
    <row r="207" spans="1:5" ht="14.25" customHeight="1" x14ac:dyDescent="0.2">
      <c r="A207" s="14">
        <v>43963</v>
      </c>
      <c r="B207" s="5" t="s">
        <v>15</v>
      </c>
      <c r="C207" s="21">
        <v>125</v>
      </c>
      <c r="D207" s="21">
        <v>21106</v>
      </c>
      <c r="E207" s="21">
        <v>19651</v>
      </c>
    </row>
    <row r="208" spans="1:5" ht="14.25" customHeight="1" x14ac:dyDescent="0.2">
      <c r="A208" s="14">
        <v>43963</v>
      </c>
      <c r="B208" s="5" t="s">
        <v>14</v>
      </c>
      <c r="C208" s="21">
        <v>129</v>
      </c>
      <c r="D208" s="21">
        <v>16387</v>
      </c>
      <c r="E208" s="21">
        <v>15322</v>
      </c>
    </row>
    <row r="209" spans="1:5" ht="14.25" customHeight="1" x14ac:dyDescent="0.2">
      <c r="A209" s="14">
        <v>43963</v>
      </c>
      <c r="B209" s="5" t="s">
        <v>12</v>
      </c>
      <c r="C209" s="21">
        <v>10</v>
      </c>
      <c r="D209" s="21">
        <v>526</v>
      </c>
      <c r="E209" s="21">
        <v>448</v>
      </c>
    </row>
    <row r="210" spans="1:5" ht="14.25" customHeight="1" x14ac:dyDescent="0.2">
      <c r="A210" s="14">
        <v>43964</v>
      </c>
      <c r="B210" s="5" t="s">
        <v>16</v>
      </c>
      <c r="C210" s="21">
        <v>36</v>
      </c>
      <c r="D210" s="21">
        <v>4967</v>
      </c>
      <c r="E210" s="21">
        <v>4583</v>
      </c>
    </row>
    <row r="211" spans="1:5" ht="14.25" customHeight="1" x14ac:dyDescent="0.2">
      <c r="A211" s="14">
        <v>43964</v>
      </c>
      <c r="B211" s="5" t="s">
        <v>11</v>
      </c>
      <c r="C211" s="21">
        <v>31</v>
      </c>
      <c r="D211" s="21">
        <v>5251</v>
      </c>
      <c r="E211" s="21">
        <v>4853</v>
      </c>
    </row>
    <row r="212" spans="1:5" ht="14.25" customHeight="1" x14ac:dyDescent="0.2">
      <c r="A212" s="14">
        <v>43964</v>
      </c>
      <c r="B212" s="5" t="s">
        <v>17</v>
      </c>
      <c r="C212" s="21">
        <v>21</v>
      </c>
      <c r="D212" s="21">
        <v>2061</v>
      </c>
      <c r="E212" s="21">
        <v>1876</v>
      </c>
    </row>
    <row r="213" spans="1:5" ht="14.25" customHeight="1" x14ac:dyDescent="0.2">
      <c r="A213" s="14">
        <v>43964</v>
      </c>
      <c r="B213" s="5" t="s">
        <v>10</v>
      </c>
      <c r="C213" s="21">
        <v>21</v>
      </c>
      <c r="D213" s="21">
        <v>1698</v>
      </c>
      <c r="E213" s="21">
        <v>1554</v>
      </c>
    </row>
    <row r="214" spans="1:5" ht="14.25" customHeight="1" x14ac:dyDescent="0.2">
      <c r="A214" s="14">
        <v>43964</v>
      </c>
      <c r="B214" s="5" t="s">
        <v>20</v>
      </c>
      <c r="C214" s="21">
        <v>19</v>
      </c>
      <c r="D214" s="21">
        <v>1605</v>
      </c>
      <c r="E214" s="21">
        <v>1447</v>
      </c>
    </row>
    <row r="215" spans="1:5" ht="14.25" customHeight="1" x14ac:dyDescent="0.2">
      <c r="A215" s="14">
        <v>43964</v>
      </c>
      <c r="B215" s="5" t="s">
        <v>22</v>
      </c>
      <c r="C215" s="21">
        <v>54</v>
      </c>
      <c r="D215" s="21">
        <v>11522</v>
      </c>
      <c r="E215" s="21">
        <v>10803</v>
      </c>
    </row>
    <row r="216" spans="1:5" ht="14.25" customHeight="1" x14ac:dyDescent="0.2">
      <c r="A216" s="14">
        <v>43964</v>
      </c>
      <c r="B216" s="5" t="s">
        <v>21</v>
      </c>
      <c r="C216" s="21">
        <v>60</v>
      </c>
      <c r="D216" s="21">
        <v>12007</v>
      </c>
      <c r="E216" s="21">
        <v>11245</v>
      </c>
    </row>
    <row r="217" spans="1:5" ht="14.25" customHeight="1" x14ac:dyDescent="0.2">
      <c r="A217" s="14">
        <v>43964</v>
      </c>
      <c r="B217" s="5" t="s">
        <v>13</v>
      </c>
      <c r="C217" s="21">
        <v>19</v>
      </c>
      <c r="D217" s="21">
        <v>1625</v>
      </c>
      <c r="E217" s="21">
        <v>1444</v>
      </c>
    </row>
    <row r="218" spans="1:5" ht="14.25" customHeight="1" x14ac:dyDescent="0.2">
      <c r="A218" s="14">
        <v>43964</v>
      </c>
      <c r="B218" s="5" t="s">
        <v>23</v>
      </c>
      <c r="C218" s="21">
        <v>15</v>
      </c>
      <c r="D218" s="21">
        <v>854</v>
      </c>
      <c r="E218" s="21">
        <v>756</v>
      </c>
    </row>
    <row r="219" spans="1:5" ht="14.25" customHeight="1" x14ac:dyDescent="0.2">
      <c r="A219" s="14">
        <v>43964</v>
      </c>
      <c r="B219" s="5" t="s">
        <v>18</v>
      </c>
      <c r="C219" s="21">
        <v>15</v>
      </c>
      <c r="D219" s="21">
        <v>898</v>
      </c>
      <c r="E219" s="21">
        <v>795</v>
      </c>
    </row>
    <row r="220" spans="1:5" ht="14.25" customHeight="1" x14ac:dyDescent="0.2">
      <c r="A220" s="14">
        <v>43964</v>
      </c>
      <c r="B220" s="5" t="s">
        <v>19</v>
      </c>
      <c r="C220" s="21">
        <v>15</v>
      </c>
      <c r="D220" s="21">
        <v>599</v>
      </c>
      <c r="E220" s="21">
        <v>515</v>
      </c>
    </row>
    <row r="221" spans="1:5" ht="14.25" customHeight="1" x14ac:dyDescent="0.2">
      <c r="A221" s="14">
        <v>43964</v>
      </c>
      <c r="B221" s="5" t="s">
        <v>15</v>
      </c>
      <c r="C221" s="21">
        <v>125</v>
      </c>
      <c r="D221" s="21">
        <v>19965</v>
      </c>
      <c r="E221" s="21">
        <v>18573</v>
      </c>
    </row>
    <row r="222" spans="1:5" ht="14.25" customHeight="1" x14ac:dyDescent="0.2">
      <c r="A222" s="14">
        <v>43964</v>
      </c>
      <c r="B222" s="5" t="s">
        <v>14</v>
      </c>
      <c r="C222" s="21">
        <v>129</v>
      </c>
      <c r="D222" s="21">
        <v>15304</v>
      </c>
      <c r="E222" s="21">
        <v>14315</v>
      </c>
    </row>
    <row r="223" spans="1:5" ht="14.25" customHeight="1" x14ac:dyDescent="0.2">
      <c r="A223" s="14">
        <v>43964</v>
      </c>
      <c r="B223" s="5" t="s">
        <v>12</v>
      </c>
      <c r="C223" s="21">
        <v>10</v>
      </c>
      <c r="D223" s="21">
        <v>612</v>
      </c>
      <c r="E223" s="21">
        <v>530</v>
      </c>
    </row>
    <row r="224" spans="1:5" ht="14.25" customHeight="1" x14ac:dyDescent="0.2">
      <c r="A224" s="14">
        <v>43965</v>
      </c>
      <c r="B224" s="5" t="s">
        <v>16</v>
      </c>
      <c r="C224" s="21">
        <v>36</v>
      </c>
      <c r="D224" s="21">
        <v>4285</v>
      </c>
      <c r="E224" s="21">
        <v>3950</v>
      </c>
    </row>
    <row r="225" spans="1:5" ht="14.25" customHeight="1" x14ac:dyDescent="0.2">
      <c r="A225" s="14">
        <v>43965</v>
      </c>
      <c r="B225" s="5" t="s">
        <v>11</v>
      </c>
      <c r="C225" s="21">
        <v>31</v>
      </c>
      <c r="D225" s="21">
        <v>4695</v>
      </c>
      <c r="E225" s="21">
        <v>4372</v>
      </c>
    </row>
    <row r="226" spans="1:5" ht="14.25" customHeight="1" x14ac:dyDescent="0.2">
      <c r="A226" s="14">
        <v>43965</v>
      </c>
      <c r="B226" s="5" t="s">
        <v>17</v>
      </c>
      <c r="C226" s="21">
        <v>21</v>
      </c>
      <c r="D226" s="21">
        <v>1993</v>
      </c>
      <c r="E226" s="21">
        <v>1796</v>
      </c>
    </row>
    <row r="227" spans="1:5" ht="14.25" customHeight="1" x14ac:dyDescent="0.2">
      <c r="A227" s="14">
        <v>43965</v>
      </c>
      <c r="B227" s="5" t="s">
        <v>10</v>
      </c>
      <c r="C227" s="21">
        <v>21</v>
      </c>
      <c r="D227" s="21">
        <v>1706</v>
      </c>
      <c r="E227" s="21">
        <v>1548</v>
      </c>
    </row>
    <row r="228" spans="1:5" ht="14.25" customHeight="1" x14ac:dyDescent="0.2">
      <c r="A228" s="14">
        <v>43965</v>
      </c>
      <c r="B228" s="5" t="s">
        <v>20</v>
      </c>
      <c r="C228" s="21">
        <v>19</v>
      </c>
      <c r="D228" s="21">
        <v>1635</v>
      </c>
      <c r="E228" s="21">
        <v>1487</v>
      </c>
    </row>
    <row r="229" spans="1:5" ht="14.25" customHeight="1" x14ac:dyDescent="0.2">
      <c r="A229" s="14">
        <v>43965</v>
      </c>
      <c r="B229" s="5" t="s">
        <v>22</v>
      </c>
      <c r="C229" s="21">
        <v>54</v>
      </c>
      <c r="D229" s="21">
        <v>11194</v>
      </c>
      <c r="E229" s="21">
        <v>10554</v>
      </c>
    </row>
    <row r="230" spans="1:5" ht="14.25" customHeight="1" x14ac:dyDescent="0.2">
      <c r="A230" s="14">
        <v>43965</v>
      </c>
      <c r="B230" s="5" t="s">
        <v>21</v>
      </c>
      <c r="C230" s="21">
        <v>60</v>
      </c>
      <c r="D230" s="21">
        <v>11935</v>
      </c>
      <c r="E230" s="21">
        <v>11178</v>
      </c>
    </row>
    <row r="231" spans="1:5" ht="14.25" customHeight="1" x14ac:dyDescent="0.2">
      <c r="A231" s="14">
        <v>43965</v>
      </c>
      <c r="B231" s="5" t="s">
        <v>13</v>
      </c>
      <c r="C231" s="21">
        <v>19</v>
      </c>
      <c r="D231" s="21">
        <v>1675</v>
      </c>
      <c r="E231" s="21">
        <v>1475</v>
      </c>
    </row>
    <row r="232" spans="1:5" ht="14.25" customHeight="1" x14ac:dyDescent="0.2">
      <c r="A232" s="14">
        <v>43965</v>
      </c>
      <c r="B232" s="5" t="s">
        <v>23</v>
      </c>
      <c r="C232" s="21">
        <v>16</v>
      </c>
      <c r="D232" s="21">
        <v>834</v>
      </c>
      <c r="E232" s="21">
        <v>735</v>
      </c>
    </row>
    <row r="233" spans="1:5" ht="14.25" customHeight="1" x14ac:dyDescent="0.2">
      <c r="A233" s="14">
        <v>43965</v>
      </c>
      <c r="B233" s="5" t="s">
        <v>18</v>
      </c>
      <c r="C233" s="21">
        <v>15</v>
      </c>
      <c r="D233" s="21">
        <v>890</v>
      </c>
      <c r="E233" s="21">
        <v>777</v>
      </c>
    </row>
    <row r="234" spans="1:5" ht="14.25" customHeight="1" x14ac:dyDescent="0.2">
      <c r="A234" s="14">
        <v>43965</v>
      </c>
      <c r="B234" s="5" t="s">
        <v>19</v>
      </c>
      <c r="C234" s="21">
        <v>15</v>
      </c>
      <c r="D234" s="21">
        <v>638</v>
      </c>
      <c r="E234" s="21">
        <v>548</v>
      </c>
    </row>
    <row r="235" spans="1:5" ht="14.25" customHeight="1" x14ac:dyDescent="0.2">
      <c r="A235" s="14">
        <v>43965</v>
      </c>
      <c r="B235" s="5" t="s">
        <v>15</v>
      </c>
      <c r="C235" s="21">
        <v>125</v>
      </c>
      <c r="D235" s="21">
        <v>20247</v>
      </c>
      <c r="E235" s="21">
        <v>18812</v>
      </c>
    </row>
    <row r="236" spans="1:5" ht="14.25" customHeight="1" x14ac:dyDescent="0.2">
      <c r="A236" s="14">
        <v>43965</v>
      </c>
      <c r="B236" s="5" t="s">
        <v>14</v>
      </c>
      <c r="C236" s="21">
        <v>129</v>
      </c>
      <c r="D236" s="21">
        <v>15804</v>
      </c>
      <c r="E236" s="21">
        <v>14738</v>
      </c>
    </row>
    <row r="237" spans="1:5" ht="14.25" customHeight="1" x14ac:dyDescent="0.2">
      <c r="A237" s="14">
        <v>43965</v>
      </c>
      <c r="B237" s="5" t="s">
        <v>12</v>
      </c>
      <c r="C237" s="21">
        <v>10</v>
      </c>
      <c r="D237" s="21">
        <v>627</v>
      </c>
      <c r="E237" s="21">
        <v>545</v>
      </c>
    </row>
    <row r="238" spans="1:5" ht="14.25" customHeight="1" x14ac:dyDescent="0.2">
      <c r="A238" s="14">
        <v>43966</v>
      </c>
      <c r="B238" s="5" t="s">
        <v>16</v>
      </c>
      <c r="C238" s="21">
        <v>36</v>
      </c>
      <c r="D238" s="21">
        <v>4862</v>
      </c>
      <c r="E238" s="21">
        <v>4476</v>
      </c>
    </row>
    <row r="239" spans="1:5" ht="14.25" customHeight="1" x14ac:dyDescent="0.2">
      <c r="A239" s="14">
        <v>43966</v>
      </c>
      <c r="B239" s="5" t="s">
        <v>11</v>
      </c>
      <c r="C239" s="21">
        <v>31</v>
      </c>
      <c r="D239" s="21">
        <v>5184</v>
      </c>
      <c r="E239" s="21">
        <v>4778</v>
      </c>
    </row>
    <row r="240" spans="1:5" ht="14.25" customHeight="1" x14ac:dyDescent="0.2">
      <c r="A240" s="14">
        <v>43966</v>
      </c>
      <c r="B240" s="5" t="s">
        <v>17</v>
      </c>
      <c r="C240" s="21">
        <v>21</v>
      </c>
      <c r="D240" s="21">
        <v>2255</v>
      </c>
      <c r="E240" s="21">
        <v>2045</v>
      </c>
    </row>
    <row r="241" spans="1:5" ht="14.25" customHeight="1" x14ac:dyDescent="0.2">
      <c r="A241" s="14">
        <v>43966</v>
      </c>
      <c r="B241" s="5" t="s">
        <v>10</v>
      </c>
      <c r="C241" s="21">
        <v>21</v>
      </c>
      <c r="D241" s="21">
        <v>1926</v>
      </c>
      <c r="E241" s="21">
        <v>1742</v>
      </c>
    </row>
    <row r="242" spans="1:5" ht="14.25" customHeight="1" x14ac:dyDescent="0.2">
      <c r="A242" s="14">
        <v>43966</v>
      </c>
      <c r="B242" s="5" t="s">
        <v>20</v>
      </c>
      <c r="C242" s="21">
        <v>19</v>
      </c>
      <c r="D242" s="21">
        <v>1780</v>
      </c>
      <c r="E242" s="21">
        <v>1615</v>
      </c>
    </row>
    <row r="243" spans="1:5" ht="14.25" customHeight="1" x14ac:dyDescent="0.2">
      <c r="A243" s="14">
        <v>43966</v>
      </c>
      <c r="B243" s="5" t="s">
        <v>22</v>
      </c>
      <c r="C243" s="21">
        <v>54</v>
      </c>
      <c r="D243" s="21">
        <v>12791</v>
      </c>
      <c r="E243" s="21">
        <v>11950</v>
      </c>
    </row>
    <row r="244" spans="1:5" ht="14.25" customHeight="1" x14ac:dyDescent="0.2">
      <c r="A244" s="14">
        <v>43966</v>
      </c>
      <c r="B244" s="5" t="s">
        <v>21</v>
      </c>
      <c r="C244" s="21">
        <v>60</v>
      </c>
      <c r="D244" s="21">
        <v>13544</v>
      </c>
      <c r="E244" s="21">
        <v>12643</v>
      </c>
    </row>
    <row r="245" spans="1:5" ht="14.25" customHeight="1" x14ac:dyDescent="0.2">
      <c r="A245" s="14">
        <v>43966</v>
      </c>
      <c r="B245" s="5" t="s">
        <v>13</v>
      </c>
      <c r="C245" s="21">
        <v>19</v>
      </c>
      <c r="D245" s="21">
        <v>1940</v>
      </c>
      <c r="E245" s="21">
        <v>1715</v>
      </c>
    </row>
    <row r="246" spans="1:5" ht="14.25" customHeight="1" x14ac:dyDescent="0.2">
      <c r="A246" s="14">
        <v>43966</v>
      </c>
      <c r="B246" s="5" t="s">
        <v>23</v>
      </c>
      <c r="C246" s="21">
        <v>16</v>
      </c>
      <c r="D246" s="21">
        <v>817</v>
      </c>
      <c r="E246" s="21">
        <v>718</v>
      </c>
    </row>
    <row r="247" spans="1:5" ht="14.25" customHeight="1" x14ac:dyDescent="0.2">
      <c r="A247" s="14">
        <v>43966</v>
      </c>
      <c r="B247" s="5" t="s">
        <v>18</v>
      </c>
      <c r="C247" s="21">
        <v>15</v>
      </c>
      <c r="D247" s="21">
        <v>980</v>
      </c>
      <c r="E247" s="21">
        <v>867</v>
      </c>
    </row>
    <row r="248" spans="1:5" ht="14.25" customHeight="1" x14ac:dyDescent="0.2">
      <c r="A248" s="14">
        <v>43966</v>
      </c>
      <c r="B248" s="5" t="s">
        <v>19</v>
      </c>
      <c r="C248" s="21">
        <v>15</v>
      </c>
      <c r="D248" s="21">
        <v>688</v>
      </c>
      <c r="E248" s="21">
        <v>598</v>
      </c>
    </row>
    <row r="249" spans="1:5" ht="14.25" customHeight="1" x14ac:dyDescent="0.2">
      <c r="A249" s="14">
        <v>43966</v>
      </c>
      <c r="B249" s="5" t="s">
        <v>15</v>
      </c>
      <c r="C249" s="21">
        <v>125</v>
      </c>
      <c r="D249" s="21">
        <v>21862</v>
      </c>
      <c r="E249" s="21">
        <v>20235</v>
      </c>
    </row>
    <row r="250" spans="1:5" ht="14.25" customHeight="1" x14ac:dyDescent="0.2">
      <c r="A250" s="14">
        <v>43966</v>
      </c>
      <c r="B250" s="5" t="s">
        <v>14</v>
      </c>
      <c r="C250" s="21">
        <v>129</v>
      </c>
      <c r="D250" s="21">
        <v>17808</v>
      </c>
      <c r="E250" s="21">
        <v>16486</v>
      </c>
    </row>
    <row r="251" spans="1:5" ht="14.25" customHeight="1" x14ac:dyDescent="0.2">
      <c r="A251" s="14">
        <v>43966</v>
      </c>
      <c r="B251" s="5" t="s">
        <v>12</v>
      </c>
      <c r="C251" s="21">
        <v>10</v>
      </c>
      <c r="D251" s="21">
        <v>743</v>
      </c>
      <c r="E251" s="21">
        <v>652</v>
      </c>
    </row>
    <row r="252" spans="1:5" ht="14.25" customHeight="1" x14ac:dyDescent="0.2">
      <c r="A252" s="14">
        <v>43967</v>
      </c>
      <c r="B252" s="5" t="s">
        <v>16</v>
      </c>
      <c r="C252" s="21">
        <v>36</v>
      </c>
      <c r="D252" s="21">
        <v>5286</v>
      </c>
      <c r="E252" s="21">
        <v>4867</v>
      </c>
    </row>
    <row r="253" spans="1:5" ht="14.25" customHeight="1" x14ac:dyDescent="0.2">
      <c r="A253" s="14">
        <v>43967</v>
      </c>
      <c r="B253" s="5" t="s">
        <v>11</v>
      </c>
      <c r="C253" s="21">
        <v>31</v>
      </c>
      <c r="D253" s="21">
        <v>5593</v>
      </c>
      <c r="E253" s="21">
        <v>5177</v>
      </c>
    </row>
    <row r="254" spans="1:5" ht="14.25" customHeight="1" x14ac:dyDescent="0.2">
      <c r="A254" s="14">
        <v>43967</v>
      </c>
      <c r="B254" s="5" t="s">
        <v>17</v>
      </c>
      <c r="C254" s="21">
        <v>21</v>
      </c>
      <c r="D254" s="21">
        <v>2427</v>
      </c>
      <c r="E254" s="21">
        <v>2213</v>
      </c>
    </row>
    <row r="255" spans="1:5" ht="14.25" customHeight="1" x14ac:dyDescent="0.2">
      <c r="A255" s="14">
        <v>43967</v>
      </c>
      <c r="B255" s="5" t="s">
        <v>10</v>
      </c>
      <c r="C255" s="21">
        <v>21</v>
      </c>
      <c r="D255" s="21">
        <v>2145</v>
      </c>
      <c r="E255" s="21">
        <v>1947</v>
      </c>
    </row>
    <row r="256" spans="1:5" ht="14.25" customHeight="1" x14ac:dyDescent="0.2">
      <c r="A256" s="14">
        <v>43967</v>
      </c>
      <c r="B256" s="5" t="s">
        <v>20</v>
      </c>
      <c r="C256" s="21">
        <v>19</v>
      </c>
      <c r="D256" s="21">
        <v>2039</v>
      </c>
      <c r="E256" s="21">
        <v>1868</v>
      </c>
    </row>
    <row r="257" spans="1:5" ht="14.25" customHeight="1" x14ac:dyDescent="0.2">
      <c r="A257" s="14">
        <v>43967</v>
      </c>
      <c r="B257" s="5" t="s">
        <v>22</v>
      </c>
      <c r="C257" s="21">
        <v>54</v>
      </c>
      <c r="D257" s="21">
        <v>13170</v>
      </c>
      <c r="E257" s="21">
        <v>12299</v>
      </c>
    </row>
    <row r="258" spans="1:5" ht="14.25" customHeight="1" x14ac:dyDescent="0.2">
      <c r="A258" s="14">
        <v>43967</v>
      </c>
      <c r="B258" s="5" t="s">
        <v>21</v>
      </c>
      <c r="C258" s="21">
        <v>60</v>
      </c>
      <c r="D258" s="21">
        <v>14049</v>
      </c>
      <c r="E258" s="21">
        <v>13118</v>
      </c>
    </row>
    <row r="259" spans="1:5" ht="14.25" customHeight="1" x14ac:dyDescent="0.2">
      <c r="A259" s="14">
        <v>43967</v>
      </c>
      <c r="B259" s="5" t="s">
        <v>13</v>
      </c>
      <c r="C259" s="21">
        <v>19</v>
      </c>
      <c r="D259" s="21">
        <v>2080</v>
      </c>
      <c r="E259" s="21">
        <v>1844</v>
      </c>
    </row>
    <row r="260" spans="1:5" ht="14.25" customHeight="1" x14ac:dyDescent="0.2">
      <c r="A260" s="14">
        <v>43967</v>
      </c>
      <c r="B260" s="5" t="s">
        <v>23</v>
      </c>
      <c r="C260" s="21">
        <v>16</v>
      </c>
      <c r="D260" s="21">
        <v>920</v>
      </c>
      <c r="E260" s="21">
        <v>818</v>
      </c>
    </row>
    <row r="261" spans="1:5" ht="14.25" customHeight="1" x14ac:dyDescent="0.2">
      <c r="A261" s="14">
        <v>43967</v>
      </c>
      <c r="B261" s="5" t="s">
        <v>18</v>
      </c>
      <c r="C261" s="21">
        <v>15</v>
      </c>
      <c r="D261" s="21">
        <v>1111</v>
      </c>
      <c r="E261" s="21">
        <v>992</v>
      </c>
    </row>
    <row r="262" spans="1:5" ht="14.25" customHeight="1" x14ac:dyDescent="0.2">
      <c r="A262" s="14">
        <v>43967</v>
      </c>
      <c r="B262" s="5" t="s">
        <v>19</v>
      </c>
      <c r="C262" s="21">
        <v>15</v>
      </c>
      <c r="D262" s="21">
        <v>747</v>
      </c>
      <c r="E262" s="21">
        <v>647</v>
      </c>
    </row>
    <row r="263" spans="1:5" ht="14.25" customHeight="1" x14ac:dyDescent="0.2">
      <c r="A263" s="14">
        <v>43967</v>
      </c>
      <c r="B263" s="5" t="s">
        <v>15</v>
      </c>
      <c r="C263" s="21">
        <v>125</v>
      </c>
      <c r="D263" s="21">
        <v>22291</v>
      </c>
      <c r="E263" s="21">
        <v>20635</v>
      </c>
    </row>
    <row r="264" spans="1:5" ht="14.25" customHeight="1" x14ac:dyDescent="0.2">
      <c r="A264" s="14">
        <v>43967</v>
      </c>
      <c r="B264" s="5" t="s">
        <v>14</v>
      </c>
      <c r="C264" s="21">
        <v>129</v>
      </c>
      <c r="D264" s="21">
        <v>17914</v>
      </c>
      <c r="E264" s="21">
        <v>16631</v>
      </c>
    </row>
    <row r="265" spans="1:5" ht="14.25" customHeight="1" x14ac:dyDescent="0.2">
      <c r="A265" s="14">
        <v>43967</v>
      </c>
      <c r="B265" s="5" t="s">
        <v>12</v>
      </c>
      <c r="C265" s="21">
        <v>10</v>
      </c>
      <c r="D265" s="21">
        <v>760</v>
      </c>
      <c r="E265" s="21">
        <v>672</v>
      </c>
    </row>
    <row r="266" spans="1:5" ht="14.25" customHeight="1" x14ac:dyDescent="0.2">
      <c r="A266" s="14">
        <v>43968</v>
      </c>
      <c r="B266" s="5" t="s">
        <v>16</v>
      </c>
      <c r="C266" s="21">
        <v>36</v>
      </c>
      <c r="D266" s="21">
        <v>4918</v>
      </c>
      <c r="E266" s="21">
        <v>4554</v>
      </c>
    </row>
    <row r="267" spans="1:5" ht="14.25" customHeight="1" x14ac:dyDescent="0.2">
      <c r="A267" s="14">
        <v>43968</v>
      </c>
      <c r="B267" s="5" t="s">
        <v>11</v>
      </c>
      <c r="C267" s="21">
        <v>31</v>
      </c>
      <c r="D267" s="21">
        <v>5206</v>
      </c>
      <c r="E267" s="21">
        <v>4843</v>
      </c>
    </row>
    <row r="268" spans="1:5" ht="14.25" customHeight="1" x14ac:dyDescent="0.2">
      <c r="A268" s="14">
        <v>43968</v>
      </c>
      <c r="B268" s="5" t="s">
        <v>17</v>
      </c>
      <c r="C268" s="21">
        <v>21</v>
      </c>
      <c r="D268" s="21">
        <v>2054</v>
      </c>
      <c r="E268" s="21">
        <v>1883</v>
      </c>
    </row>
    <row r="269" spans="1:5" ht="14.25" customHeight="1" x14ac:dyDescent="0.2">
      <c r="A269" s="14">
        <v>43968</v>
      </c>
      <c r="B269" s="5" t="s">
        <v>10</v>
      </c>
      <c r="C269" s="21">
        <v>21</v>
      </c>
      <c r="D269" s="21">
        <v>1874</v>
      </c>
      <c r="E269" s="21">
        <v>1705</v>
      </c>
    </row>
    <row r="270" spans="1:5" ht="14.25" customHeight="1" x14ac:dyDescent="0.2">
      <c r="A270" s="14">
        <v>43968</v>
      </c>
      <c r="B270" s="5" t="s">
        <v>20</v>
      </c>
      <c r="C270" s="21">
        <v>19</v>
      </c>
      <c r="D270" s="21">
        <v>1790</v>
      </c>
      <c r="E270" s="21">
        <v>1633</v>
      </c>
    </row>
    <row r="271" spans="1:5" ht="14.25" customHeight="1" x14ac:dyDescent="0.2">
      <c r="A271" s="14">
        <v>43968</v>
      </c>
      <c r="B271" s="5" t="s">
        <v>22</v>
      </c>
      <c r="C271" s="21">
        <v>54</v>
      </c>
      <c r="D271" s="21">
        <v>11128</v>
      </c>
      <c r="E271" s="21">
        <v>10467</v>
      </c>
    </row>
    <row r="272" spans="1:5" ht="14.25" customHeight="1" x14ac:dyDescent="0.2">
      <c r="A272" s="14">
        <v>43968</v>
      </c>
      <c r="B272" s="5" t="s">
        <v>21</v>
      </c>
      <c r="C272" s="21">
        <v>60</v>
      </c>
      <c r="D272" s="21">
        <v>11698</v>
      </c>
      <c r="E272" s="21">
        <v>10989</v>
      </c>
    </row>
    <row r="273" spans="1:5" ht="14.25" customHeight="1" x14ac:dyDescent="0.2">
      <c r="A273" s="14">
        <v>43968</v>
      </c>
      <c r="B273" s="5" t="s">
        <v>13</v>
      </c>
      <c r="C273" s="21">
        <v>19</v>
      </c>
      <c r="D273" s="21">
        <v>1871</v>
      </c>
      <c r="E273" s="21">
        <v>1660</v>
      </c>
    </row>
    <row r="274" spans="1:5" ht="14.25" customHeight="1" x14ac:dyDescent="0.2">
      <c r="A274" s="14">
        <v>43968</v>
      </c>
      <c r="B274" s="5" t="s">
        <v>23</v>
      </c>
      <c r="C274" s="21">
        <v>16</v>
      </c>
      <c r="D274" s="21">
        <v>859</v>
      </c>
      <c r="E274" s="21">
        <v>746</v>
      </c>
    </row>
    <row r="275" spans="1:5" ht="14.25" customHeight="1" x14ac:dyDescent="0.2">
      <c r="A275" s="14">
        <v>43968</v>
      </c>
      <c r="B275" s="5" t="s">
        <v>18</v>
      </c>
      <c r="C275" s="21">
        <v>15</v>
      </c>
      <c r="D275" s="21">
        <v>971</v>
      </c>
      <c r="E275" s="21">
        <v>856</v>
      </c>
    </row>
    <row r="276" spans="1:5" ht="14.25" customHeight="1" x14ac:dyDescent="0.2">
      <c r="A276" s="14">
        <v>43968</v>
      </c>
      <c r="B276" s="5" t="s">
        <v>19</v>
      </c>
      <c r="C276" s="21">
        <v>15</v>
      </c>
      <c r="D276" s="21">
        <v>692</v>
      </c>
      <c r="E276" s="21">
        <v>591</v>
      </c>
    </row>
    <row r="277" spans="1:5" ht="14.25" customHeight="1" x14ac:dyDescent="0.2">
      <c r="A277" s="14">
        <v>43968</v>
      </c>
      <c r="B277" s="5" t="s">
        <v>15</v>
      </c>
      <c r="C277" s="21">
        <v>125</v>
      </c>
      <c r="D277" s="21">
        <v>20079</v>
      </c>
      <c r="E277" s="21">
        <v>18721</v>
      </c>
    </row>
    <row r="278" spans="1:5" ht="14.25" customHeight="1" x14ac:dyDescent="0.2">
      <c r="A278" s="14">
        <v>43968</v>
      </c>
      <c r="B278" s="5" t="s">
        <v>14</v>
      </c>
      <c r="C278" s="21">
        <v>129</v>
      </c>
      <c r="D278" s="21">
        <v>15744</v>
      </c>
      <c r="E278" s="21">
        <v>14685</v>
      </c>
    </row>
    <row r="279" spans="1:5" ht="14.25" customHeight="1" x14ac:dyDescent="0.2">
      <c r="A279" s="14">
        <v>43968</v>
      </c>
      <c r="B279" s="5" t="s">
        <v>12</v>
      </c>
      <c r="C279" s="21">
        <v>10</v>
      </c>
      <c r="D279" s="21">
        <v>591</v>
      </c>
      <c r="E279" s="21">
        <v>513</v>
      </c>
    </row>
    <row r="280" spans="1:5" ht="14.25" customHeight="1" x14ac:dyDescent="0.2">
      <c r="A280" s="14">
        <v>43969</v>
      </c>
      <c r="B280" s="5" t="s">
        <v>16</v>
      </c>
      <c r="C280" s="21">
        <v>36</v>
      </c>
      <c r="D280" s="21">
        <v>4885</v>
      </c>
      <c r="E280" s="21">
        <v>4502</v>
      </c>
    </row>
    <row r="281" spans="1:5" ht="14.25" customHeight="1" x14ac:dyDescent="0.2">
      <c r="A281" s="14">
        <v>43969</v>
      </c>
      <c r="B281" s="5" t="s">
        <v>11</v>
      </c>
      <c r="C281" s="21">
        <v>31</v>
      </c>
      <c r="D281" s="21">
        <v>5165</v>
      </c>
      <c r="E281" s="21">
        <v>4813</v>
      </c>
    </row>
    <row r="282" spans="1:5" ht="14.25" customHeight="1" x14ac:dyDescent="0.2">
      <c r="A282" s="14">
        <v>43969</v>
      </c>
      <c r="B282" s="5" t="s">
        <v>17</v>
      </c>
      <c r="C282" s="21">
        <v>21</v>
      </c>
      <c r="D282" s="21">
        <v>2136</v>
      </c>
      <c r="E282" s="21">
        <v>1947</v>
      </c>
    </row>
    <row r="283" spans="1:5" ht="14.25" customHeight="1" x14ac:dyDescent="0.2">
      <c r="A283" s="14">
        <v>43969</v>
      </c>
      <c r="B283" s="5" t="s">
        <v>10</v>
      </c>
      <c r="C283" s="21">
        <v>21</v>
      </c>
      <c r="D283" s="21">
        <v>1834</v>
      </c>
      <c r="E283" s="21">
        <v>1660</v>
      </c>
    </row>
    <row r="284" spans="1:5" ht="14.25" customHeight="1" x14ac:dyDescent="0.2">
      <c r="A284" s="14">
        <v>43969</v>
      </c>
      <c r="B284" s="5" t="s">
        <v>20</v>
      </c>
      <c r="C284" s="21">
        <v>19</v>
      </c>
      <c r="D284" s="21">
        <v>1741</v>
      </c>
      <c r="E284" s="21">
        <v>1597</v>
      </c>
    </row>
    <row r="285" spans="1:5" ht="14.25" customHeight="1" x14ac:dyDescent="0.2">
      <c r="A285" s="14">
        <v>43969</v>
      </c>
      <c r="B285" s="5" t="s">
        <v>22</v>
      </c>
      <c r="C285" s="21">
        <v>54</v>
      </c>
      <c r="D285" s="21">
        <v>12012</v>
      </c>
      <c r="E285" s="21">
        <v>11308</v>
      </c>
    </row>
    <row r="286" spans="1:5" ht="14.25" customHeight="1" x14ac:dyDescent="0.2">
      <c r="A286" s="14">
        <v>43969</v>
      </c>
      <c r="B286" s="5" t="s">
        <v>21</v>
      </c>
      <c r="C286" s="21">
        <v>60</v>
      </c>
      <c r="D286" s="21">
        <v>12460</v>
      </c>
      <c r="E286" s="21">
        <v>11665</v>
      </c>
    </row>
    <row r="287" spans="1:5" ht="14.25" customHeight="1" x14ac:dyDescent="0.2">
      <c r="A287" s="14">
        <v>43969</v>
      </c>
      <c r="B287" s="5" t="s">
        <v>13</v>
      </c>
      <c r="C287" s="21">
        <v>19</v>
      </c>
      <c r="D287" s="21">
        <v>1858</v>
      </c>
      <c r="E287" s="21">
        <v>1648</v>
      </c>
    </row>
    <row r="288" spans="1:5" ht="14.25" customHeight="1" x14ac:dyDescent="0.2">
      <c r="A288" s="14">
        <v>43969</v>
      </c>
      <c r="B288" s="5" t="s">
        <v>23</v>
      </c>
      <c r="C288" s="21">
        <v>16</v>
      </c>
      <c r="D288" s="21">
        <v>864</v>
      </c>
      <c r="E288" s="21">
        <v>765</v>
      </c>
    </row>
    <row r="289" spans="1:5" ht="14.25" customHeight="1" x14ac:dyDescent="0.2">
      <c r="A289" s="14">
        <v>43969</v>
      </c>
      <c r="B289" s="5" t="s">
        <v>18</v>
      </c>
      <c r="C289" s="21">
        <v>16</v>
      </c>
      <c r="D289" s="21">
        <v>925</v>
      </c>
      <c r="E289" s="21">
        <v>816</v>
      </c>
    </row>
    <row r="290" spans="1:5" ht="14.25" customHeight="1" x14ac:dyDescent="0.2">
      <c r="A290" s="14">
        <v>43969</v>
      </c>
      <c r="B290" s="5" t="s">
        <v>19</v>
      </c>
      <c r="C290" s="21">
        <v>15</v>
      </c>
      <c r="D290" s="21">
        <v>729</v>
      </c>
      <c r="E290" s="21">
        <v>636</v>
      </c>
    </row>
    <row r="291" spans="1:5" ht="14.25" customHeight="1" x14ac:dyDescent="0.2">
      <c r="A291" s="14">
        <v>43969</v>
      </c>
      <c r="B291" s="5" t="s">
        <v>15</v>
      </c>
      <c r="C291" s="21">
        <v>125</v>
      </c>
      <c r="D291" s="21">
        <v>20449</v>
      </c>
      <c r="E291" s="21">
        <v>19060</v>
      </c>
    </row>
    <row r="292" spans="1:5" ht="14.25" customHeight="1" x14ac:dyDescent="0.2">
      <c r="A292" s="14">
        <v>43969</v>
      </c>
      <c r="B292" s="5" t="s">
        <v>14</v>
      </c>
      <c r="C292" s="21">
        <v>129</v>
      </c>
      <c r="D292" s="21">
        <v>16110</v>
      </c>
      <c r="E292" s="21">
        <v>14992</v>
      </c>
    </row>
    <row r="293" spans="1:5" ht="14.25" customHeight="1" x14ac:dyDescent="0.2">
      <c r="A293" s="14">
        <v>43969</v>
      </c>
      <c r="B293" s="5" t="s">
        <v>12</v>
      </c>
      <c r="C293" s="21">
        <v>10</v>
      </c>
      <c r="D293" s="21">
        <v>645</v>
      </c>
      <c r="E293" s="21">
        <v>565</v>
      </c>
    </row>
    <row r="294" spans="1:5" ht="14.25" customHeight="1" x14ac:dyDescent="0.2">
      <c r="A294" s="14">
        <v>43970</v>
      </c>
      <c r="B294" s="5" t="s">
        <v>16</v>
      </c>
      <c r="C294" s="21">
        <v>36</v>
      </c>
      <c r="D294" s="21">
        <v>5094</v>
      </c>
      <c r="E294" s="21">
        <v>4716</v>
      </c>
    </row>
    <row r="295" spans="1:5" ht="14.25" customHeight="1" x14ac:dyDescent="0.2">
      <c r="A295" s="14">
        <v>43970</v>
      </c>
      <c r="B295" s="5" t="s">
        <v>11</v>
      </c>
      <c r="C295" s="21">
        <v>31</v>
      </c>
      <c r="D295" s="21">
        <v>5389</v>
      </c>
      <c r="E295" s="21">
        <v>5024</v>
      </c>
    </row>
    <row r="296" spans="1:5" ht="14.25" customHeight="1" x14ac:dyDescent="0.2">
      <c r="A296" s="14">
        <v>43970</v>
      </c>
      <c r="B296" s="5" t="s">
        <v>17</v>
      </c>
      <c r="C296" s="21">
        <v>21</v>
      </c>
      <c r="D296" s="21">
        <v>2245</v>
      </c>
      <c r="E296" s="21">
        <v>2053</v>
      </c>
    </row>
    <row r="297" spans="1:5" ht="14.25" customHeight="1" x14ac:dyDescent="0.2">
      <c r="A297" s="14">
        <v>43970</v>
      </c>
      <c r="B297" s="5" t="s">
        <v>10</v>
      </c>
      <c r="C297" s="21">
        <v>21</v>
      </c>
      <c r="D297" s="21">
        <v>1860</v>
      </c>
      <c r="E297" s="21">
        <v>1704</v>
      </c>
    </row>
    <row r="298" spans="1:5" ht="14.25" customHeight="1" x14ac:dyDescent="0.2">
      <c r="A298" s="14">
        <v>43970</v>
      </c>
      <c r="B298" s="5" t="s">
        <v>20</v>
      </c>
      <c r="C298" s="21">
        <v>19</v>
      </c>
      <c r="D298" s="21">
        <v>1831</v>
      </c>
      <c r="E298" s="21">
        <v>1667</v>
      </c>
    </row>
    <row r="299" spans="1:5" ht="14.25" customHeight="1" x14ac:dyDescent="0.2">
      <c r="A299" s="14">
        <v>43970</v>
      </c>
      <c r="B299" s="5" t="s">
        <v>22</v>
      </c>
      <c r="C299" s="21">
        <v>54</v>
      </c>
      <c r="D299" s="21">
        <v>13070</v>
      </c>
      <c r="E299" s="21">
        <v>12244</v>
      </c>
    </row>
    <row r="300" spans="1:5" ht="14.25" customHeight="1" x14ac:dyDescent="0.2">
      <c r="A300" s="14">
        <v>43970</v>
      </c>
      <c r="B300" s="5" t="s">
        <v>21</v>
      </c>
      <c r="C300" s="21">
        <v>60</v>
      </c>
      <c r="D300" s="21">
        <v>13867</v>
      </c>
      <c r="E300" s="21">
        <v>12987</v>
      </c>
    </row>
    <row r="301" spans="1:5" ht="14.25" customHeight="1" x14ac:dyDescent="0.2">
      <c r="A301" s="14">
        <v>43970</v>
      </c>
      <c r="B301" s="5" t="s">
        <v>13</v>
      </c>
      <c r="C301" s="21">
        <v>19</v>
      </c>
      <c r="D301" s="21">
        <v>1999</v>
      </c>
      <c r="E301" s="21">
        <v>1799</v>
      </c>
    </row>
    <row r="302" spans="1:5" ht="14.25" customHeight="1" x14ac:dyDescent="0.2">
      <c r="A302" s="14">
        <v>43970</v>
      </c>
      <c r="B302" s="5" t="s">
        <v>23</v>
      </c>
      <c r="C302" s="21">
        <v>17</v>
      </c>
      <c r="D302" s="21">
        <v>857</v>
      </c>
      <c r="E302" s="21">
        <v>757</v>
      </c>
    </row>
    <row r="303" spans="1:5" ht="14.25" customHeight="1" x14ac:dyDescent="0.2">
      <c r="A303" s="14">
        <v>43970</v>
      </c>
      <c r="B303" s="5" t="s">
        <v>18</v>
      </c>
      <c r="C303" s="21">
        <v>16</v>
      </c>
      <c r="D303" s="21">
        <v>1012</v>
      </c>
      <c r="E303" s="21">
        <v>900</v>
      </c>
    </row>
    <row r="304" spans="1:5" ht="14.25" customHeight="1" x14ac:dyDescent="0.2">
      <c r="A304" s="14">
        <v>43970</v>
      </c>
      <c r="B304" s="5" t="s">
        <v>19</v>
      </c>
      <c r="C304" s="21">
        <v>15</v>
      </c>
      <c r="D304" s="21">
        <v>930</v>
      </c>
      <c r="E304" s="21">
        <v>827</v>
      </c>
    </row>
    <row r="305" spans="1:5" ht="14.25" customHeight="1" x14ac:dyDescent="0.2">
      <c r="A305" s="14">
        <v>43970</v>
      </c>
      <c r="B305" s="5" t="s">
        <v>15</v>
      </c>
      <c r="C305" s="21">
        <v>125</v>
      </c>
      <c r="D305" s="21">
        <v>20771</v>
      </c>
      <c r="E305" s="21">
        <v>19338</v>
      </c>
    </row>
    <row r="306" spans="1:5" ht="14.25" customHeight="1" x14ac:dyDescent="0.2">
      <c r="A306" s="14">
        <v>43970</v>
      </c>
      <c r="B306" s="5" t="s">
        <v>14</v>
      </c>
      <c r="C306" s="21">
        <v>129</v>
      </c>
      <c r="D306" s="21">
        <v>16191</v>
      </c>
      <c r="E306" s="21">
        <v>15102</v>
      </c>
    </row>
    <row r="307" spans="1:5" ht="14.25" customHeight="1" x14ac:dyDescent="0.2">
      <c r="A307" s="14">
        <v>43970</v>
      </c>
      <c r="B307" s="5" t="s">
        <v>12</v>
      </c>
      <c r="C307" s="21">
        <v>10</v>
      </c>
      <c r="D307" s="21">
        <v>649</v>
      </c>
      <c r="E307" s="21">
        <v>568</v>
      </c>
    </row>
    <row r="308" spans="1:5" ht="14.25" customHeight="1" x14ac:dyDescent="0.2">
      <c r="A308" s="14">
        <v>43971</v>
      </c>
      <c r="B308" s="5" t="s">
        <v>16</v>
      </c>
      <c r="C308" s="21">
        <v>36</v>
      </c>
      <c r="D308" s="21">
        <v>5914</v>
      </c>
      <c r="E308" s="21">
        <v>5384</v>
      </c>
    </row>
    <row r="309" spans="1:5" ht="14.25" customHeight="1" x14ac:dyDescent="0.2">
      <c r="A309" s="14">
        <v>43971</v>
      </c>
      <c r="B309" s="5" t="s">
        <v>11</v>
      </c>
      <c r="C309" s="21">
        <v>31</v>
      </c>
      <c r="D309" s="21">
        <v>5698</v>
      </c>
      <c r="E309" s="21">
        <v>5258</v>
      </c>
    </row>
    <row r="310" spans="1:5" ht="14.25" customHeight="1" x14ac:dyDescent="0.2">
      <c r="A310" s="14">
        <v>43971</v>
      </c>
      <c r="B310" s="5" t="s">
        <v>17</v>
      </c>
      <c r="C310" s="21">
        <v>21</v>
      </c>
      <c r="D310" s="21">
        <v>2410</v>
      </c>
      <c r="E310" s="21">
        <v>2202</v>
      </c>
    </row>
    <row r="311" spans="1:5" ht="14.25" customHeight="1" x14ac:dyDescent="0.2">
      <c r="A311" s="14">
        <v>43971</v>
      </c>
      <c r="B311" s="5" t="s">
        <v>10</v>
      </c>
      <c r="C311" s="21">
        <v>21</v>
      </c>
      <c r="D311" s="21">
        <v>1921</v>
      </c>
      <c r="E311" s="21">
        <v>1767</v>
      </c>
    </row>
    <row r="312" spans="1:5" ht="14.25" customHeight="1" x14ac:dyDescent="0.2">
      <c r="A312" s="14">
        <v>43971</v>
      </c>
      <c r="B312" s="5" t="s">
        <v>20</v>
      </c>
      <c r="C312" s="21">
        <v>19</v>
      </c>
      <c r="D312" s="21">
        <v>1823</v>
      </c>
      <c r="E312" s="21">
        <v>1678</v>
      </c>
    </row>
    <row r="313" spans="1:5" ht="14.25" customHeight="1" x14ac:dyDescent="0.2">
      <c r="A313" s="14">
        <v>43971</v>
      </c>
      <c r="B313" s="5" t="s">
        <v>22</v>
      </c>
      <c r="C313" s="21">
        <v>54</v>
      </c>
      <c r="D313" s="21">
        <v>13298</v>
      </c>
      <c r="E313" s="21">
        <v>12428</v>
      </c>
    </row>
    <row r="314" spans="1:5" ht="14.25" customHeight="1" x14ac:dyDescent="0.2">
      <c r="A314" s="14">
        <v>43971</v>
      </c>
      <c r="B314" s="5" t="s">
        <v>21</v>
      </c>
      <c r="C314" s="21">
        <v>60</v>
      </c>
      <c r="D314" s="21">
        <v>13792</v>
      </c>
      <c r="E314" s="21">
        <v>12834</v>
      </c>
    </row>
    <row r="315" spans="1:5" ht="14.25" customHeight="1" x14ac:dyDescent="0.2">
      <c r="A315" s="14">
        <v>43971</v>
      </c>
      <c r="B315" s="5" t="s">
        <v>13</v>
      </c>
      <c r="C315" s="21">
        <v>19</v>
      </c>
      <c r="D315" s="21">
        <v>1889</v>
      </c>
      <c r="E315" s="21">
        <v>1690</v>
      </c>
    </row>
    <row r="316" spans="1:5" ht="14.25" customHeight="1" x14ac:dyDescent="0.2">
      <c r="A316" s="14">
        <v>43971</v>
      </c>
      <c r="B316" s="5" t="s">
        <v>23</v>
      </c>
      <c r="C316" s="21">
        <v>17</v>
      </c>
      <c r="D316" s="21">
        <v>890</v>
      </c>
      <c r="E316" s="21">
        <v>794</v>
      </c>
    </row>
    <row r="317" spans="1:5" ht="14.25" customHeight="1" x14ac:dyDescent="0.2">
      <c r="A317" s="14">
        <v>43971</v>
      </c>
      <c r="B317" s="5" t="s">
        <v>18</v>
      </c>
      <c r="C317" s="21">
        <v>16</v>
      </c>
      <c r="D317" s="21">
        <v>1050</v>
      </c>
      <c r="E317" s="21">
        <v>938</v>
      </c>
    </row>
    <row r="318" spans="1:5" ht="14.25" customHeight="1" x14ac:dyDescent="0.2">
      <c r="A318" s="14">
        <v>43971</v>
      </c>
      <c r="B318" s="5" t="s">
        <v>19</v>
      </c>
      <c r="C318" s="21">
        <v>15</v>
      </c>
      <c r="D318" s="21">
        <v>760</v>
      </c>
      <c r="E318" s="21">
        <v>664</v>
      </c>
    </row>
    <row r="319" spans="1:5" ht="14.25" customHeight="1" x14ac:dyDescent="0.2">
      <c r="A319" s="14">
        <v>43971</v>
      </c>
      <c r="B319" s="5" t="s">
        <v>15</v>
      </c>
      <c r="C319" s="21">
        <v>125</v>
      </c>
      <c r="D319" s="21">
        <v>21674</v>
      </c>
      <c r="E319" s="21">
        <v>20155</v>
      </c>
    </row>
    <row r="320" spans="1:5" ht="14.25" customHeight="1" x14ac:dyDescent="0.2">
      <c r="A320" s="14">
        <v>43971</v>
      </c>
      <c r="B320" s="5" t="s">
        <v>14</v>
      </c>
      <c r="C320" s="21">
        <v>129</v>
      </c>
      <c r="D320" s="21">
        <v>17095</v>
      </c>
      <c r="E320" s="21">
        <v>15919</v>
      </c>
    </row>
    <row r="321" spans="1:5" ht="14.25" customHeight="1" x14ac:dyDescent="0.2">
      <c r="A321" s="14">
        <v>43971</v>
      </c>
      <c r="B321" s="5" t="s">
        <v>12</v>
      </c>
      <c r="C321" s="21">
        <v>10</v>
      </c>
      <c r="D321" s="21">
        <v>745</v>
      </c>
      <c r="E321" s="21">
        <v>654</v>
      </c>
    </row>
    <row r="322" spans="1:5" ht="14.25" customHeight="1" x14ac:dyDescent="0.2">
      <c r="A322" s="14">
        <v>43972</v>
      </c>
      <c r="B322" s="5" t="s">
        <v>16</v>
      </c>
      <c r="C322" s="21">
        <v>36</v>
      </c>
      <c r="D322" s="21">
        <v>4816</v>
      </c>
      <c r="E322" s="21">
        <v>4452</v>
      </c>
    </row>
    <row r="323" spans="1:5" ht="14.25" customHeight="1" x14ac:dyDescent="0.2">
      <c r="A323" s="14">
        <v>43972</v>
      </c>
      <c r="B323" s="5" t="s">
        <v>11</v>
      </c>
      <c r="C323" s="21">
        <v>31</v>
      </c>
      <c r="D323" s="21">
        <v>5207</v>
      </c>
      <c r="E323" s="21">
        <v>4868</v>
      </c>
    </row>
    <row r="324" spans="1:5" ht="14.25" customHeight="1" x14ac:dyDescent="0.2">
      <c r="A324" s="14">
        <v>43972</v>
      </c>
      <c r="B324" s="5" t="s">
        <v>17</v>
      </c>
      <c r="C324" s="21">
        <v>21</v>
      </c>
      <c r="D324" s="21">
        <v>2335</v>
      </c>
      <c r="E324" s="21">
        <v>2126</v>
      </c>
    </row>
    <row r="325" spans="1:5" ht="14.25" customHeight="1" x14ac:dyDescent="0.2">
      <c r="A325" s="14">
        <v>43972</v>
      </c>
      <c r="B325" s="5" t="s">
        <v>10</v>
      </c>
      <c r="C325" s="21">
        <v>21</v>
      </c>
      <c r="D325" s="21">
        <v>1787</v>
      </c>
      <c r="E325" s="21">
        <v>1626</v>
      </c>
    </row>
    <row r="326" spans="1:5" ht="14.25" customHeight="1" x14ac:dyDescent="0.2">
      <c r="A326" s="14">
        <v>43972</v>
      </c>
      <c r="B326" s="5" t="s">
        <v>20</v>
      </c>
      <c r="C326" s="21">
        <v>19</v>
      </c>
      <c r="D326" s="21">
        <v>1650</v>
      </c>
      <c r="E326" s="21">
        <v>1505</v>
      </c>
    </row>
    <row r="327" spans="1:5" ht="14.25" customHeight="1" x14ac:dyDescent="0.2">
      <c r="A327" s="14">
        <v>43972</v>
      </c>
      <c r="B327" s="5" t="s">
        <v>22</v>
      </c>
      <c r="C327" s="21">
        <v>54</v>
      </c>
      <c r="D327" s="21">
        <v>13240</v>
      </c>
      <c r="E327" s="21">
        <v>12360</v>
      </c>
    </row>
    <row r="328" spans="1:5" ht="14.25" customHeight="1" x14ac:dyDescent="0.2">
      <c r="A328" s="14">
        <v>43972</v>
      </c>
      <c r="B328" s="5" t="s">
        <v>21</v>
      </c>
      <c r="C328" s="21">
        <v>60</v>
      </c>
      <c r="D328" s="21">
        <v>14005</v>
      </c>
      <c r="E328" s="21">
        <v>13002</v>
      </c>
    </row>
    <row r="329" spans="1:5" ht="14.25" customHeight="1" x14ac:dyDescent="0.2">
      <c r="A329" s="14">
        <v>43972</v>
      </c>
      <c r="B329" s="5" t="s">
        <v>13</v>
      </c>
      <c r="C329" s="21">
        <v>19</v>
      </c>
      <c r="D329" s="21">
        <v>1949</v>
      </c>
      <c r="E329" s="21">
        <v>1724</v>
      </c>
    </row>
    <row r="330" spans="1:5" ht="14.25" customHeight="1" x14ac:dyDescent="0.2">
      <c r="A330" s="14">
        <v>43972</v>
      </c>
      <c r="B330" s="5" t="s">
        <v>23</v>
      </c>
      <c r="C330" s="21">
        <v>18</v>
      </c>
      <c r="D330" s="21">
        <v>888</v>
      </c>
      <c r="E330" s="21">
        <v>786</v>
      </c>
    </row>
    <row r="331" spans="1:5" ht="14.25" customHeight="1" x14ac:dyDescent="0.2">
      <c r="A331" s="14">
        <v>43972</v>
      </c>
      <c r="B331" s="5" t="s">
        <v>18</v>
      </c>
      <c r="C331" s="21">
        <v>17</v>
      </c>
      <c r="D331" s="21">
        <v>1045</v>
      </c>
      <c r="E331" s="21">
        <v>930</v>
      </c>
    </row>
    <row r="332" spans="1:5" ht="14.25" customHeight="1" x14ac:dyDescent="0.2">
      <c r="A332" s="14">
        <v>43972</v>
      </c>
      <c r="B332" s="5" t="s">
        <v>19</v>
      </c>
      <c r="C332" s="21">
        <v>15</v>
      </c>
      <c r="D332" s="21">
        <v>749</v>
      </c>
      <c r="E332" s="21">
        <v>652</v>
      </c>
    </row>
    <row r="333" spans="1:5" ht="14.25" customHeight="1" x14ac:dyDescent="0.2">
      <c r="A333" s="14">
        <v>43972</v>
      </c>
      <c r="B333" s="5" t="s">
        <v>15</v>
      </c>
      <c r="C333" s="21">
        <v>125</v>
      </c>
      <c r="D333" s="21">
        <v>20911</v>
      </c>
      <c r="E333" s="21">
        <v>19358</v>
      </c>
    </row>
    <row r="334" spans="1:5" ht="14.25" customHeight="1" x14ac:dyDescent="0.2">
      <c r="A334" s="14">
        <v>43972</v>
      </c>
      <c r="B334" s="5" t="s">
        <v>14</v>
      </c>
      <c r="C334" s="21">
        <v>129</v>
      </c>
      <c r="D334" s="21">
        <v>16373</v>
      </c>
      <c r="E334" s="21">
        <v>15223</v>
      </c>
    </row>
    <row r="335" spans="1:5" ht="14.25" customHeight="1" x14ac:dyDescent="0.2">
      <c r="A335" s="14">
        <v>43972</v>
      </c>
      <c r="B335" s="5" t="s">
        <v>12</v>
      </c>
      <c r="C335" s="21">
        <v>10</v>
      </c>
      <c r="D335" s="21">
        <v>677</v>
      </c>
      <c r="E335" s="21">
        <v>591</v>
      </c>
    </row>
    <row r="336" spans="1:5" ht="14.25" customHeight="1" x14ac:dyDescent="0.2">
      <c r="A336" s="14">
        <v>43973</v>
      </c>
      <c r="B336" s="5" t="s">
        <v>16</v>
      </c>
      <c r="C336" s="21">
        <v>36</v>
      </c>
      <c r="D336" s="21">
        <v>4857</v>
      </c>
      <c r="E336" s="21">
        <v>4456</v>
      </c>
    </row>
    <row r="337" spans="1:5" ht="14.25" customHeight="1" x14ac:dyDescent="0.2">
      <c r="A337" s="14">
        <v>43973</v>
      </c>
      <c r="B337" s="5" t="s">
        <v>11</v>
      </c>
      <c r="C337" s="21">
        <v>31</v>
      </c>
      <c r="D337" s="21">
        <v>5965</v>
      </c>
      <c r="E337" s="21">
        <v>5533</v>
      </c>
    </row>
    <row r="338" spans="1:5" ht="14.25" customHeight="1" x14ac:dyDescent="0.2">
      <c r="A338" s="14">
        <v>43973</v>
      </c>
      <c r="B338" s="5" t="s">
        <v>17</v>
      </c>
      <c r="C338" s="21">
        <v>21</v>
      </c>
      <c r="D338" s="21">
        <v>2861</v>
      </c>
      <c r="E338" s="21">
        <v>2612</v>
      </c>
    </row>
    <row r="339" spans="1:5" ht="14.25" customHeight="1" x14ac:dyDescent="0.2">
      <c r="A339" s="14">
        <v>43973</v>
      </c>
      <c r="B339" s="5" t="s">
        <v>10</v>
      </c>
      <c r="C339" s="21">
        <v>21</v>
      </c>
      <c r="D339" s="21">
        <v>2046</v>
      </c>
      <c r="E339" s="21">
        <v>1853</v>
      </c>
    </row>
    <row r="340" spans="1:5" ht="14.25" customHeight="1" x14ac:dyDescent="0.2">
      <c r="A340" s="14">
        <v>43973</v>
      </c>
      <c r="B340" s="5" t="s">
        <v>20</v>
      </c>
      <c r="C340" s="21">
        <v>19</v>
      </c>
      <c r="D340" s="21">
        <v>1859</v>
      </c>
      <c r="E340" s="21">
        <v>1697</v>
      </c>
    </row>
    <row r="341" spans="1:5" ht="14.25" customHeight="1" x14ac:dyDescent="0.2">
      <c r="A341" s="14">
        <v>43973</v>
      </c>
      <c r="B341" s="5" t="s">
        <v>22</v>
      </c>
      <c r="C341" s="21">
        <v>54</v>
      </c>
      <c r="D341" s="21">
        <v>13014</v>
      </c>
      <c r="E341" s="21">
        <v>12095</v>
      </c>
    </row>
    <row r="342" spans="1:5" ht="14.25" customHeight="1" x14ac:dyDescent="0.2">
      <c r="A342" s="14">
        <v>43973</v>
      </c>
      <c r="B342" s="5" t="s">
        <v>21</v>
      </c>
      <c r="C342" s="21">
        <v>60</v>
      </c>
      <c r="D342" s="21">
        <v>14050</v>
      </c>
      <c r="E342" s="21">
        <v>13027</v>
      </c>
    </row>
    <row r="343" spans="1:5" ht="14.25" customHeight="1" x14ac:dyDescent="0.2">
      <c r="A343" s="14">
        <v>43973</v>
      </c>
      <c r="B343" s="5" t="s">
        <v>13</v>
      </c>
      <c r="C343" s="21">
        <v>20</v>
      </c>
      <c r="D343" s="21">
        <v>2306</v>
      </c>
      <c r="E343" s="21">
        <v>2054</v>
      </c>
    </row>
    <row r="344" spans="1:5" ht="14.25" customHeight="1" x14ac:dyDescent="0.2">
      <c r="A344" s="14">
        <v>43973</v>
      </c>
      <c r="B344" s="5" t="s">
        <v>23</v>
      </c>
      <c r="C344" s="21">
        <v>18</v>
      </c>
      <c r="D344" s="21">
        <v>985</v>
      </c>
      <c r="E344" s="21">
        <v>861</v>
      </c>
    </row>
    <row r="345" spans="1:5" ht="14.25" customHeight="1" x14ac:dyDescent="0.2">
      <c r="A345" s="14">
        <v>43973</v>
      </c>
      <c r="B345" s="5" t="s">
        <v>18</v>
      </c>
      <c r="C345" s="21">
        <v>17</v>
      </c>
      <c r="D345" s="21">
        <v>1268</v>
      </c>
      <c r="E345" s="21">
        <v>1129</v>
      </c>
    </row>
    <row r="346" spans="1:5" ht="14.25" customHeight="1" x14ac:dyDescent="0.2">
      <c r="A346" s="14">
        <v>43973</v>
      </c>
      <c r="B346" s="5" t="s">
        <v>19</v>
      </c>
      <c r="C346" s="21">
        <v>15</v>
      </c>
      <c r="D346" s="21">
        <v>903</v>
      </c>
      <c r="E346" s="21">
        <v>792</v>
      </c>
    </row>
    <row r="347" spans="1:5" ht="14.25" customHeight="1" x14ac:dyDescent="0.2">
      <c r="A347" s="14">
        <v>43973</v>
      </c>
      <c r="B347" s="5" t="s">
        <v>15</v>
      </c>
      <c r="C347" s="21">
        <v>125</v>
      </c>
      <c r="D347" s="21">
        <v>21427</v>
      </c>
      <c r="E347" s="21">
        <v>19799</v>
      </c>
    </row>
    <row r="348" spans="1:5" ht="14.25" customHeight="1" x14ac:dyDescent="0.2">
      <c r="A348" s="14">
        <v>43973</v>
      </c>
      <c r="B348" s="5" t="s">
        <v>14</v>
      </c>
      <c r="C348" s="21">
        <v>129</v>
      </c>
      <c r="D348" s="21">
        <v>17088</v>
      </c>
      <c r="E348" s="21">
        <v>15804</v>
      </c>
    </row>
    <row r="349" spans="1:5" ht="14.25" customHeight="1" x14ac:dyDescent="0.2">
      <c r="A349" s="14">
        <v>43973</v>
      </c>
      <c r="B349" s="5" t="s">
        <v>12</v>
      </c>
      <c r="C349" s="21">
        <v>10</v>
      </c>
      <c r="D349" s="21">
        <v>965</v>
      </c>
      <c r="E349" s="21">
        <v>861</v>
      </c>
    </row>
    <row r="350" spans="1:5" ht="14.25" customHeight="1" x14ac:dyDescent="0.2">
      <c r="A350" s="14">
        <v>43974</v>
      </c>
      <c r="B350" s="5" t="s">
        <v>16</v>
      </c>
      <c r="C350" s="21">
        <v>36</v>
      </c>
      <c r="D350" s="21">
        <v>5651</v>
      </c>
      <c r="E350" s="21">
        <v>5212</v>
      </c>
    </row>
    <row r="351" spans="1:5" ht="14.25" customHeight="1" x14ac:dyDescent="0.2">
      <c r="A351" s="14">
        <v>43974</v>
      </c>
      <c r="B351" s="5" t="s">
        <v>11</v>
      </c>
      <c r="C351" s="21">
        <v>31</v>
      </c>
      <c r="D351" s="21">
        <v>6276</v>
      </c>
      <c r="E351" s="21">
        <v>5801</v>
      </c>
    </row>
    <row r="352" spans="1:5" ht="14.25" customHeight="1" x14ac:dyDescent="0.2">
      <c r="A352" s="14">
        <v>43974</v>
      </c>
      <c r="B352" s="5" t="s">
        <v>17</v>
      </c>
      <c r="C352" s="21">
        <v>21</v>
      </c>
      <c r="D352" s="21">
        <v>2460</v>
      </c>
      <c r="E352" s="21">
        <v>2226</v>
      </c>
    </row>
    <row r="353" spans="1:5" ht="14.25" customHeight="1" x14ac:dyDescent="0.2">
      <c r="A353" s="14">
        <v>43974</v>
      </c>
      <c r="B353" s="5" t="s">
        <v>10</v>
      </c>
      <c r="C353" s="21">
        <v>21</v>
      </c>
      <c r="D353" s="21">
        <v>2340</v>
      </c>
      <c r="E353" s="21">
        <v>2146</v>
      </c>
    </row>
    <row r="354" spans="1:5" ht="14.25" customHeight="1" x14ac:dyDescent="0.2">
      <c r="A354" s="14">
        <v>43974</v>
      </c>
      <c r="B354" s="5" t="s">
        <v>20</v>
      </c>
      <c r="C354" s="21">
        <v>19</v>
      </c>
      <c r="D354" s="21">
        <v>2195</v>
      </c>
      <c r="E354" s="21">
        <v>1999</v>
      </c>
    </row>
    <row r="355" spans="1:5" ht="14.25" customHeight="1" x14ac:dyDescent="0.2">
      <c r="A355" s="14">
        <v>43974</v>
      </c>
      <c r="B355" s="5" t="s">
        <v>22</v>
      </c>
      <c r="C355" s="21">
        <v>54</v>
      </c>
      <c r="D355" s="21">
        <v>16221</v>
      </c>
      <c r="E355" s="21">
        <v>15065</v>
      </c>
    </row>
    <row r="356" spans="1:5" ht="14.25" customHeight="1" x14ac:dyDescent="0.2">
      <c r="A356" s="14">
        <v>43974</v>
      </c>
      <c r="B356" s="5" t="s">
        <v>21</v>
      </c>
      <c r="C356" s="21">
        <v>60</v>
      </c>
      <c r="D356" s="21">
        <v>17295</v>
      </c>
      <c r="E356" s="21">
        <v>16010</v>
      </c>
    </row>
    <row r="357" spans="1:5" ht="14.25" customHeight="1" x14ac:dyDescent="0.2">
      <c r="A357" s="14">
        <v>43974</v>
      </c>
      <c r="B357" s="5" t="s">
        <v>13</v>
      </c>
      <c r="C357" s="21">
        <v>20</v>
      </c>
      <c r="D357" s="21">
        <v>2266</v>
      </c>
      <c r="E357" s="21">
        <v>1993</v>
      </c>
    </row>
    <row r="358" spans="1:5" ht="14.25" customHeight="1" x14ac:dyDescent="0.2">
      <c r="A358" s="14">
        <v>43974</v>
      </c>
      <c r="B358" s="5" t="s">
        <v>23</v>
      </c>
      <c r="C358" s="21">
        <v>18</v>
      </c>
      <c r="D358" s="21">
        <v>1031</v>
      </c>
      <c r="E358" s="21">
        <v>918</v>
      </c>
    </row>
    <row r="359" spans="1:5" ht="14.25" customHeight="1" x14ac:dyDescent="0.2">
      <c r="A359" s="14">
        <v>43974</v>
      </c>
      <c r="B359" s="5" t="s">
        <v>18</v>
      </c>
      <c r="C359" s="21">
        <v>17</v>
      </c>
      <c r="D359" s="21">
        <v>1294</v>
      </c>
      <c r="E359" s="21">
        <v>1155</v>
      </c>
    </row>
    <row r="360" spans="1:5" ht="14.25" customHeight="1" x14ac:dyDescent="0.2">
      <c r="A360" s="14">
        <v>43974</v>
      </c>
      <c r="B360" s="5" t="s">
        <v>19</v>
      </c>
      <c r="C360" s="21">
        <v>15</v>
      </c>
      <c r="D360" s="21">
        <v>840</v>
      </c>
      <c r="E360" s="21">
        <v>725</v>
      </c>
    </row>
    <row r="361" spans="1:5" ht="14.25" customHeight="1" x14ac:dyDescent="0.2">
      <c r="A361" s="14">
        <v>43974</v>
      </c>
      <c r="B361" s="5" t="s">
        <v>15</v>
      </c>
      <c r="C361" s="21">
        <v>125</v>
      </c>
      <c r="D361" s="21">
        <v>24574</v>
      </c>
      <c r="E361" s="21">
        <v>22609</v>
      </c>
    </row>
    <row r="362" spans="1:5" ht="14.25" customHeight="1" x14ac:dyDescent="0.2">
      <c r="A362" s="14">
        <v>43974</v>
      </c>
      <c r="B362" s="5" t="s">
        <v>14</v>
      </c>
      <c r="C362" s="21">
        <v>129</v>
      </c>
      <c r="D362" s="21">
        <v>19856</v>
      </c>
      <c r="E362" s="21">
        <v>18325</v>
      </c>
    </row>
    <row r="363" spans="1:5" ht="14.25" customHeight="1" x14ac:dyDescent="0.2">
      <c r="A363" s="14">
        <v>43974</v>
      </c>
      <c r="B363" s="5" t="s">
        <v>12</v>
      </c>
      <c r="C363" s="21">
        <v>10</v>
      </c>
      <c r="D363" s="21">
        <v>828</v>
      </c>
      <c r="E363" s="21">
        <v>734</v>
      </c>
    </row>
    <row r="364" spans="1:5" ht="14.25" customHeight="1" x14ac:dyDescent="0.2">
      <c r="A364" s="14">
        <v>43975</v>
      </c>
      <c r="B364" s="5" t="s">
        <v>16</v>
      </c>
      <c r="C364" s="21">
        <v>36</v>
      </c>
      <c r="D364" s="21">
        <v>4915</v>
      </c>
      <c r="E364" s="21">
        <v>4562</v>
      </c>
    </row>
    <row r="365" spans="1:5" ht="14.25" customHeight="1" x14ac:dyDescent="0.2">
      <c r="A365" s="14">
        <v>43975</v>
      </c>
      <c r="B365" s="5" t="s">
        <v>11</v>
      </c>
      <c r="C365" s="21">
        <v>31</v>
      </c>
      <c r="D365" s="21">
        <v>5035</v>
      </c>
      <c r="E365" s="21">
        <v>4683</v>
      </c>
    </row>
    <row r="366" spans="1:5" ht="14.25" customHeight="1" x14ac:dyDescent="0.2">
      <c r="A366" s="14">
        <v>43975</v>
      </c>
      <c r="B366" s="5" t="s">
        <v>17</v>
      </c>
      <c r="C366" s="21">
        <v>21</v>
      </c>
      <c r="D366" s="21">
        <v>2254</v>
      </c>
      <c r="E366" s="21">
        <v>2061</v>
      </c>
    </row>
    <row r="367" spans="1:5" ht="14.25" customHeight="1" x14ac:dyDescent="0.2">
      <c r="A367" s="14">
        <v>43975</v>
      </c>
      <c r="B367" s="5" t="s">
        <v>10</v>
      </c>
      <c r="C367" s="21">
        <v>20</v>
      </c>
      <c r="D367" s="21">
        <v>1999</v>
      </c>
      <c r="E367" s="21">
        <v>1829</v>
      </c>
    </row>
    <row r="368" spans="1:5" ht="14.25" customHeight="1" x14ac:dyDescent="0.2">
      <c r="A368" s="14">
        <v>43975</v>
      </c>
      <c r="B368" s="5" t="s">
        <v>20</v>
      </c>
      <c r="C368" s="21">
        <v>19</v>
      </c>
      <c r="D368" s="21">
        <v>1868</v>
      </c>
      <c r="E368" s="21">
        <v>1706</v>
      </c>
    </row>
    <row r="369" spans="1:5" ht="14.25" customHeight="1" x14ac:dyDescent="0.2">
      <c r="A369" s="14">
        <v>43975</v>
      </c>
      <c r="B369" s="5" t="s">
        <v>22</v>
      </c>
      <c r="C369" s="21">
        <v>54</v>
      </c>
      <c r="D369" s="21">
        <v>12211</v>
      </c>
      <c r="E369" s="21">
        <v>11427</v>
      </c>
    </row>
    <row r="370" spans="1:5" ht="14.25" customHeight="1" x14ac:dyDescent="0.2">
      <c r="A370" s="14">
        <v>43975</v>
      </c>
      <c r="B370" s="5" t="s">
        <v>21</v>
      </c>
      <c r="C370" s="21">
        <v>60</v>
      </c>
      <c r="D370" s="21">
        <v>12822</v>
      </c>
      <c r="E370" s="21">
        <v>11916</v>
      </c>
    </row>
    <row r="371" spans="1:5" ht="14.25" customHeight="1" x14ac:dyDescent="0.2">
      <c r="A371" s="14">
        <v>43975</v>
      </c>
      <c r="B371" s="5" t="s">
        <v>13</v>
      </c>
      <c r="C371" s="21">
        <v>20</v>
      </c>
      <c r="D371" s="21">
        <v>2015</v>
      </c>
      <c r="E371" s="21">
        <v>1803</v>
      </c>
    </row>
    <row r="372" spans="1:5" ht="14.25" customHeight="1" x14ac:dyDescent="0.2">
      <c r="A372" s="14">
        <v>43975</v>
      </c>
      <c r="B372" s="5" t="s">
        <v>23</v>
      </c>
      <c r="C372" s="21">
        <v>18</v>
      </c>
      <c r="D372" s="21">
        <v>1006</v>
      </c>
      <c r="E372" s="21">
        <v>904</v>
      </c>
    </row>
    <row r="373" spans="1:5" ht="14.25" customHeight="1" x14ac:dyDescent="0.2">
      <c r="A373" s="14">
        <v>43975</v>
      </c>
      <c r="B373" s="5" t="s">
        <v>18</v>
      </c>
      <c r="C373" s="21">
        <v>17</v>
      </c>
      <c r="D373" s="21">
        <v>1128</v>
      </c>
      <c r="E373" s="21">
        <v>1001</v>
      </c>
    </row>
    <row r="374" spans="1:5" ht="14.25" customHeight="1" x14ac:dyDescent="0.2">
      <c r="A374" s="14">
        <v>43975</v>
      </c>
      <c r="B374" s="5" t="s">
        <v>19</v>
      </c>
      <c r="C374" s="21">
        <v>15</v>
      </c>
      <c r="D374" s="21">
        <v>779</v>
      </c>
      <c r="E374" s="21">
        <v>673</v>
      </c>
    </row>
    <row r="375" spans="1:5" ht="14.25" customHeight="1" x14ac:dyDescent="0.2">
      <c r="A375" s="14">
        <v>43975</v>
      </c>
      <c r="B375" s="5" t="s">
        <v>15</v>
      </c>
      <c r="C375" s="21">
        <v>125</v>
      </c>
      <c r="D375" s="21">
        <v>21004</v>
      </c>
      <c r="E375" s="21">
        <v>19556</v>
      </c>
    </row>
    <row r="376" spans="1:5" ht="14.25" customHeight="1" x14ac:dyDescent="0.2">
      <c r="A376" s="14">
        <v>43975</v>
      </c>
      <c r="B376" s="5" t="s">
        <v>14</v>
      </c>
      <c r="C376" s="21">
        <v>129</v>
      </c>
      <c r="D376" s="21">
        <v>16432</v>
      </c>
      <c r="E376" s="21">
        <v>15345</v>
      </c>
    </row>
    <row r="377" spans="1:5" ht="14.25" customHeight="1" x14ac:dyDescent="0.2">
      <c r="A377" s="14">
        <v>43975</v>
      </c>
      <c r="B377" s="5" t="s">
        <v>12</v>
      </c>
      <c r="C377" s="21">
        <v>10</v>
      </c>
      <c r="D377" s="21">
        <v>639</v>
      </c>
      <c r="E377" s="21">
        <v>557</v>
      </c>
    </row>
    <row r="378" spans="1:5" ht="14.25" customHeight="1" x14ac:dyDescent="0.2">
      <c r="A378" s="14">
        <v>43976</v>
      </c>
      <c r="B378" s="5" t="s">
        <v>16</v>
      </c>
      <c r="C378" s="21">
        <v>36</v>
      </c>
      <c r="D378" s="21">
        <v>4641</v>
      </c>
      <c r="E378" s="21">
        <v>4274</v>
      </c>
    </row>
    <row r="379" spans="1:5" ht="14.25" customHeight="1" x14ac:dyDescent="0.2">
      <c r="A379" s="14">
        <v>43976</v>
      </c>
      <c r="B379" s="5" t="s">
        <v>11</v>
      </c>
      <c r="C379" s="21">
        <v>31</v>
      </c>
      <c r="D379" s="21">
        <v>5210</v>
      </c>
      <c r="E379" s="21">
        <v>4841</v>
      </c>
    </row>
    <row r="380" spans="1:5" ht="14.25" customHeight="1" x14ac:dyDescent="0.2">
      <c r="A380" s="14">
        <v>43976</v>
      </c>
      <c r="B380" s="5" t="s">
        <v>17</v>
      </c>
      <c r="C380" s="21">
        <v>21</v>
      </c>
      <c r="D380" s="21">
        <v>2330</v>
      </c>
      <c r="E380" s="21">
        <v>2142</v>
      </c>
    </row>
    <row r="381" spans="1:5" ht="14.25" customHeight="1" x14ac:dyDescent="0.2">
      <c r="A381" s="14">
        <v>43976</v>
      </c>
      <c r="B381" s="5" t="s">
        <v>10</v>
      </c>
      <c r="C381" s="21">
        <v>20</v>
      </c>
      <c r="D381" s="21">
        <v>2087</v>
      </c>
      <c r="E381" s="21">
        <v>1914</v>
      </c>
    </row>
    <row r="382" spans="1:5" ht="14.25" customHeight="1" x14ac:dyDescent="0.2">
      <c r="A382" s="14">
        <v>43976</v>
      </c>
      <c r="B382" s="5" t="s">
        <v>20</v>
      </c>
      <c r="C382" s="21">
        <v>20</v>
      </c>
      <c r="D382" s="21">
        <v>1899</v>
      </c>
      <c r="E382" s="21">
        <v>1738</v>
      </c>
    </row>
    <row r="383" spans="1:5" ht="14.25" customHeight="1" x14ac:dyDescent="0.2">
      <c r="A383" s="14">
        <v>43976</v>
      </c>
      <c r="B383" s="5" t="s">
        <v>22</v>
      </c>
      <c r="C383" s="21">
        <v>54</v>
      </c>
      <c r="D383" s="21">
        <v>12336</v>
      </c>
      <c r="E383" s="21">
        <v>11519</v>
      </c>
    </row>
    <row r="384" spans="1:5" ht="14.25" customHeight="1" x14ac:dyDescent="0.2">
      <c r="A384" s="14">
        <v>43976</v>
      </c>
      <c r="B384" s="5" t="s">
        <v>21</v>
      </c>
      <c r="C384" s="21">
        <v>59</v>
      </c>
      <c r="D384" s="21">
        <v>12983</v>
      </c>
      <c r="E384" s="21">
        <v>12056</v>
      </c>
    </row>
    <row r="385" spans="1:5" ht="14.25" customHeight="1" x14ac:dyDescent="0.2">
      <c r="A385" s="14">
        <v>43976</v>
      </c>
      <c r="B385" s="5" t="s">
        <v>13</v>
      </c>
      <c r="C385" s="21">
        <v>20</v>
      </c>
      <c r="D385" s="21">
        <v>2011</v>
      </c>
      <c r="E385" s="21">
        <v>1791</v>
      </c>
    </row>
    <row r="386" spans="1:5" ht="14.25" customHeight="1" x14ac:dyDescent="0.2">
      <c r="A386" s="14">
        <v>43976</v>
      </c>
      <c r="B386" s="5" t="s">
        <v>23</v>
      </c>
      <c r="C386" s="21">
        <v>18</v>
      </c>
      <c r="D386" s="21">
        <v>989</v>
      </c>
      <c r="E386" s="21">
        <v>887</v>
      </c>
    </row>
    <row r="387" spans="1:5" ht="14.25" customHeight="1" x14ac:dyDescent="0.2">
      <c r="A387" s="14">
        <v>43976</v>
      </c>
      <c r="B387" s="5" t="s">
        <v>18</v>
      </c>
      <c r="C387" s="21">
        <v>17</v>
      </c>
      <c r="D387" s="21">
        <v>1142</v>
      </c>
      <c r="E387" s="21">
        <v>1020</v>
      </c>
    </row>
    <row r="388" spans="1:5" ht="14.25" customHeight="1" x14ac:dyDescent="0.2">
      <c r="A388" s="14">
        <v>43976</v>
      </c>
      <c r="B388" s="5" t="s">
        <v>19</v>
      </c>
      <c r="C388" s="21">
        <v>15</v>
      </c>
      <c r="D388" s="21">
        <v>835</v>
      </c>
      <c r="E388" s="21">
        <v>736</v>
      </c>
    </row>
    <row r="389" spans="1:5" ht="14.25" customHeight="1" x14ac:dyDescent="0.2">
      <c r="A389" s="14">
        <v>43976</v>
      </c>
      <c r="B389" s="5" t="s">
        <v>15</v>
      </c>
      <c r="C389" s="21">
        <v>124</v>
      </c>
      <c r="D389" s="21">
        <v>20358</v>
      </c>
      <c r="E389" s="21">
        <v>18890</v>
      </c>
    </row>
    <row r="390" spans="1:5" ht="14.25" customHeight="1" x14ac:dyDescent="0.2">
      <c r="A390" s="14">
        <v>43976</v>
      </c>
      <c r="B390" s="5" t="s">
        <v>14</v>
      </c>
      <c r="C390" s="21">
        <v>129</v>
      </c>
      <c r="D390" s="21">
        <v>15822</v>
      </c>
      <c r="E390" s="21">
        <v>14753</v>
      </c>
    </row>
    <row r="391" spans="1:5" ht="14.25" customHeight="1" x14ac:dyDescent="0.2">
      <c r="A391" s="14">
        <v>43976</v>
      </c>
      <c r="B391" s="5" t="s">
        <v>12</v>
      </c>
      <c r="C391" s="21">
        <v>10</v>
      </c>
      <c r="D391" s="21">
        <v>739</v>
      </c>
      <c r="E391" s="21">
        <v>642</v>
      </c>
    </row>
    <row r="392" spans="1:5" ht="14.25" customHeight="1" x14ac:dyDescent="0.2">
      <c r="A392" s="14">
        <v>43977</v>
      </c>
      <c r="B392" s="5" t="s">
        <v>16</v>
      </c>
      <c r="C392" s="21">
        <v>36</v>
      </c>
      <c r="D392" s="21">
        <v>4770</v>
      </c>
      <c r="E392" s="21">
        <v>4424</v>
      </c>
    </row>
    <row r="393" spans="1:5" ht="14.25" customHeight="1" x14ac:dyDescent="0.2">
      <c r="A393" s="14">
        <v>43977</v>
      </c>
      <c r="B393" s="5" t="s">
        <v>11</v>
      </c>
      <c r="C393" s="21">
        <v>31</v>
      </c>
      <c r="D393" s="21">
        <v>5493</v>
      </c>
      <c r="E393" s="21">
        <v>5119</v>
      </c>
    </row>
    <row r="394" spans="1:5" ht="14.25" customHeight="1" x14ac:dyDescent="0.2">
      <c r="A394" s="14">
        <v>43977</v>
      </c>
      <c r="B394" s="5" t="s">
        <v>17</v>
      </c>
      <c r="C394" s="21">
        <v>21</v>
      </c>
      <c r="D394" s="21">
        <v>2418</v>
      </c>
      <c r="E394" s="21">
        <v>2215</v>
      </c>
    </row>
    <row r="395" spans="1:5" ht="14.25" customHeight="1" x14ac:dyDescent="0.2">
      <c r="A395" s="14">
        <v>43977</v>
      </c>
      <c r="B395" s="5" t="s">
        <v>10</v>
      </c>
      <c r="C395" s="21">
        <v>20</v>
      </c>
      <c r="D395" s="21">
        <v>2044</v>
      </c>
      <c r="E395" s="21">
        <v>1863</v>
      </c>
    </row>
    <row r="396" spans="1:5" ht="14.25" customHeight="1" x14ac:dyDescent="0.2">
      <c r="A396" s="14">
        <v>43977</v>
      </c>
      <c r="B396" s="5" t="s">
        <v>20</v>
      </c>
      <c r="C396" s="21">
        <v>20</v>
      </c>
      <c r="D396" s="21">
        <v>1814</v>
      </c>
      <c r="E396" s="21">
        <v>1655</v>
      </c>
    </row>
    <row r="397" spans="1:5" ht="14.25" customHeight="1" x14ac:dyDescent="0.2">
      <c r="A397" s="14">
        <v>43977</v>
      </c>
      <c r="B397" s="5" t="s">
        <v>22</v>
      </c>
      <c r="C397" s="21">
        <v>54</v>
      </c>
      <c r="D397" s="21">
        <v>14482</v>
      </c>
      <c r="E397" s="21">
        <v>13510</v>
      </c>
    </row>
    <row r="398" spans="1:5" ht="14.25" customHeight="1" x14ac:dyDescent="0.2">
      <c r="A398" s="14">
        <v>43977</v>
      </c>
      <c r="B398" s="5" t="s">
        <v>21</v>
      </c>
      <c r="C398" s="21">
        <v>59</v>
      </c>
      <c r="D398" s="21">
        <v>15369</v>
      </c>
      <c r="E398" s="21">
        <v>14299</v>
      </c>
    </row>
    <row r="399" spans="1:5" ht="14.25" customHeight="1" x14ac:dyDescent="0.2">
      <c r="A399" s="14">
        <v>43977</v>
      </c>
      <c r="B399" s="5" t="s">
        <v>13</v>
      </c>
      <c r="C399" s="21">
        <v>20</v>
      </c>
      <c r="D399" s="21">
        <v>2036</v>
      </c>
      <c r="E399" s="21">
        <v>1790</v>
      </c>
    </row>
    <row r="400" spans="1:5" ht="14.25" customHeight="1" x14ac:dyDescent="0.2">
      <c r="A400" s="14">
        <v>43977</v>
      </c>
      <c r="B400" s="5" t="s">
        <v>23</v>
      </c>
      <c r="C400" s="21">
        <v>18</v>
      </c>
      <c r="D400" s="21">
        <v>914</v>
      </c>
      <c r="E400" s="21">
        <v>804</v>
      </c>
    </row>
    <row r="401" spans="1:5" ht="14.25" customHeight="1" x14ac:dyDescent="0.2">
      <c r="A401" s="14">
        <v>43977</v>
      </c>
      <c r="B401" s="5" t="s">
        <v>18</v>
      </c>
      <c r="C401" s="21">
        <v>17</v>
      </c>
      <c r="D401" s="21">
        <v>1140</v>
      </c>
      <c r="E401" s="21">
        <v>1016</v>
      </c>
    </row>
    <row r="402" spans="1:5" ht="14.25" customHeight="1" x14ac:dyDescent="0.2">
      <c r="A402" s="14">
        <v>43977</v>
      </c>
      <c r="B402" s="5" t="s">
        <v>19</v>
      </c>
      <c r="C402" s="21">
        <v>15</v>
      </c>
      <c r="D402" s="21">
        <v>812</v>
      </c>
      <c r="E402" s="21">
        <v>711</v>
      </c>
    </row>
    <row r="403" spans="1:5" ht="14.25" customHeight="1" x14ac:dyDescent="0.2">
      <c r="A403" s="14">
        <v>43977</v>
      </c>
      <c r="B403" s="5" t="s">
        <v>15</v>
      </c>
      <c r="C403" s="21">
        <v>124</v>
      </c>
      <c r="D403" s="21">
        <v>21153</v>
      </c>
      <c r="E403" s="21">
        <v>19673</v>
      </c>
    </row>
    <row r="404" spans="1:5" ht="14.25" customHeight="1" x14ac:dyDescent="0.2">
      <c r="A404" s="14">
        <v>43977</v>
      </c>
      <c r="B404" s="5" t="s">
        <v>14</v>
      </c>
      <c r="C404" s="21">
        <v>129</v>
      </c>
      <c r="D404" s="21">
        <v>16459</v>
      </c>
      <c r="E404" s="21">
        <v>15355</v>
      </c>
    </row>
    <row r="405" spans="1:5" ht="14.25" customHeight="1" x14ac:dyDescent="0.2">
      <c r="A405" s="14">
        <v>43977</v>
      </c>
      <c r="B405" s="5" t="s">
        <v>12</v>
      </c>
      <c r="C405" s="21">
        <v>10</v>
      </c>
      <c r="D405" s="21">
        <v>692</v>
      </c>
      <c r="E405" s="21">
        <v>601</v>
      </c>
    </row>
    <row r="406" spans="1:5" ht="14.25" customHeight="1" x14ac:dyDescent="0.2">
      <c r="A406" s="14">
        <v>43977</v>
      </c>
      <c r="B406" s="5" t="s">
        <v>24</v>
      </c>
      <c r="C406" s="21">
        <v>7</v>
      </c>
      <c r="D406" s="21">
        <v>577</v>
      </c>
      <c r="E406" s="21">
        <v>389</v>
      </c>
    </row>
    <row r="407" spans="1:5" ht="14.25" customHeight="1" x14ac:dyDescent="0.2">
      <c r="A407" s="14">
        <v>43978</v>
      </c>
      <c r="B407" s="5" t="s">
        <v>16</v>
      </c>
      <c r="C407" s="21">
        <v>36</v>
      </c>
      <c r="D407" s="21">
        <v>4951</v>
      </c>
      <c r="E407" s="21">
        <v>4584</v>
      </c>
    </row>
    <row r="408" spans="1:5" ht="14.25" customHeight="1" x14ac:dyDescent="0.2">
      <c r="A408" s="14">
        <v>43978</v>
      </c>
      <c r="B408" s="5" t="s">
        <v>11</v>
      </c>
      <c r="C408" s="21">
        <v>31</v>
      </c>
      <c r="D408" s="21">
        <v>5330</v>
      </c>
      <c r="E408" s="21">
        <v>4977</v>
      </c>
    </row>
    <row r="409" spans="1:5" ht="14.25" customHeight="1" x14ac:dyDescent="0.2">
      <c r="A409" s="14">
        <v>43978</v>
      </c>
      <c r="B409" s="5" t="s">
        <v>17</v>
      </c>
      <c r="C409" s="21">
        <v>21</v>
      </c>
      <c r="D409" s="21">
        <v>2430</v>
      </c>
      <c r="E409" s="21">
        <v>2216</v>
      </c>
    </row>
    <row r="410" spans="1:5" ht="14.25" customHeight="1" x14ac:dyDescent="0.2">
      <c r="A410" s="14">
        <v>43978</v>
      </c>
      <c r="B410" s="5" t="s">
        <v>10</v>
      </c>
      <c r="C410" s="21">
        <v>20</v>
      </c>
      <c r="D410" s="21">
        <v>2079</v>
      </c>
      <c r="E410" s="21">
        <v>1893</v>
      </c>
    </row>
    <row r="411" spans="1:5" ht="14.25" customHeight="1" x14ac:dyDescent="0.2">
      <c r="A411" s="14">
        <v>43978</v>
      </c>
      <c r="B411" s="5" t="s">
        <v>20</v>
      </c>
      <c r="C411" s="21">
        <v>20</v>
      </c>
      <c r="D411" s="21">
        <v>1873</v>
      </c>
      <c r="E411" s="21">
        <v>1715</v>
      </c>
    </row>
    <row r="412" spans="1:5" ht="14.25" customHeight="1" x14ac:dyDescent="0.2">
      <c r="A412" s="14">
        <v>43978</v>
      </c>
      <c r="B412" s="5" t="s">
        <v>22</v>
      </c>
      <c r="C412" s="21">
        <v>54</v>
      </c>
      <c r="D412" s="21">
        <v>13091</v>
      </c>
      <c r="E412" s="21">
        <v>12216</v>
      </c>
    </row>
    <row r="413" spans="1:5" ht="14.25" customHeight="1" x14ac:dyDescent="0.2">
      <c r="A413" s="14">
        <v>43978</v>
      </c>
      <c r="B413" s="5" t="s">
        <v>21</v>
      </c>
      <c r="C413" s="21">
        <v>59</v>
      </c>
      <c r="D413" s="21">
        <v>13942</v>
      </c>
      <c r="E413" s="21">
        <v>12986</v>
      </c>
    </row>
    <row r="414" spans="1:5" ht="14.25" customHeight="1" x14ac:dyDescent="0.2">
      <c r="A414" s="14">
        <v>43978</v>
      </c>
      <c r="B414" s="5" t="s">
        <v>13</v>
      </c>
      <c r="C414" s="21">
        <v>20</v>
      </c>
      <c r="D414" s="21">
        <v>2079</v>
      </c>
      <c r="E414" s="21">
        <v>1856</v>
      </c>
    </row>
    <row r="415" spans="1:5" ht="14.25" customHeight="1" x14ac:dyDescent="0.2">
      <c r="A415" s="14">
        <v>43978</v>
      </c>
      <c r="B415" s="5" t="s">
        <v>23</v>
      </c>
      <c r="C415" s="21">
        <v>18</v>
      </c>
      <c r="D415" s="21">
        <v>962</v>
      </c>
      <c r="E415" s="21">
        <v>859</v>
      </c>
    </row>
    <row r="416" spans="1:5" ht="14.25" customHeight="1" x14ac:dyDescent="0.2">
      <c r="A416" s="14">
        <v>43978</v>
      </c>
      <c r="B416" s="5" t="s">
        <v>18</v>
      </c>
      <c r="C416" s="21">
        <v>17</v>
      </c>
      <c r="D416" s="21">
        <v>1203</v>
      </c>
      <c r="E416" s="21">
        <v>1077</v>
      </c>
    </row>
    <row r="417" spans="1:5" ht="14.25" customHeight="1" x14ac:dyDescent="0.2">
      <c r="A417" s="14">
        <v>43978</v>
      </c>
      <c r="B417" s="5" t="s">
        <v>19</v>
      </c>
      <c r="C417" s="21">
        <v>15</v>
      </c>
      <c r="D417" s="21">
        <v>809</v>
      </c>
      <c r="E417" s="21">
        <v>702</v>
      </c>
    </row>
    <row r="418" spans="1:5" ht="14.25" customHeight="1" x14ac:dyDescent="0.2">
      <c r="A418" s="14">
        <v>43978</v>
      </c>
      <c r="B418" s="5" t="s">
        <v>15</v>
      </c>
      <c r="C418" s="21">
        <v>124</v>
      </c>
      <c r="D418" s="21">
        <v>21384</v>
      </c>
      <c r="E418" s="21">
        <v>19897</v>
      </c>
    </row>
    <row r="419" spans="1:5" ht="14.25" customHeight="1" x14ac:dyDescent="0.2">
      <c r="A419" s="14">
        <v>43978</v>
      </c>
      <c r="B419" s="5" t="s">
        <v>14</v>
      </c>
      <c r="C419" s="21">
        <v>129</v>
      </c>
      <c r="D419" s="21">
        <v>17115</v>
      </c>
      <c r="E419" s="21">
        <v>15962</v>
      </c>
    </row>
    <row r="420" spans="1:5" ht="14.25" customHeight="1" x14ac:dyDescent="0.2">
      <c r="A420" s="14">
        <v>43978</v>
      </c>
      <c r="B420" s="5" t="s">
        <v>12</v>
      </c>
      <c r="C420" s="21">
        <v>10</v>
      </c>
      <c r="D420" s="21">
        <v>757</v>
      </c>
      <c r="E420" s="21">
        <v>660</v>
      </c>
    </row>
    <row r="421" spans="1:5" ht="14.25" customHeight="1" x14ac:dyDescent="0.2">
      <c r="A421" s="14">
        <v>43978</v>
      </c>
      <c r="B421" s="5" t="s">
        <v>24</v>
      </c>
      <c r="C421" s="21">
        <v>7</v>
      </c>
      <c r="D421" s="21">
        <v>409</v>
      </c>
      <c r="E421" s="21">
        <v>329</v>
      </c>
    </row>
    <row r="422" spans="1:5" ht="14.25" customHeight="1" x14ac:dyDescent="0.2">
      <c r="A422" s="14">
        <v>43979</v>
      </c>
      <c r="B422" s="5" t="s">
        <v>16</v>
      </c>
      <c r="C422" s="21">
        <v>37</v>
      </c>
      <c r="D422" s="21">
        <v>4840</v>
      </c>
      <c r="E422" s="21">
        <v>4475</v>
      </c>
    </row>
    <row r="423" spans="1:5" ht="14.25" customHeight="1" x14ac:dyDescent="0.2">
      <c r="A423" s="14">
        <v>43979</v>
      </c>
      <c r="B423" s="5" t="s">
        <v>11</v>
      </c>
      <c r="C423" s="21">
        <v>31</v>
      </c>
      <c r="D423" s="21">
        <v>5355</v>
      </c>
      <c r="E423" s="21">
        <v>4969</v>
      </c>
    </row>
    <row r="424" spans="1:5" ht="14.25" customHeight="1" x14ac:dyDescent="0.2">
      <c r="A424" s="14">
        <v>43979</v>
      </c>
      <c r="B424" s="5" t="s">
        <v>17</v>
      </c>
      <c r="C424" s="21">
        <v>22</v>
      </c>
      <c r="D424" s="21">
        <v>2454</v>
      </c>
      <c r="E424" s="21">
        <v>2239</v>
      </c>
    </row>
    <row r="425" spans="1:5" ht="14.25" customHeight="1" x14ac:dyDescent="0.2">
      <c r="A425" s="14">
        <v>43979</v>
      </c>
      <c r="B425" s="5" t="s">
        <v>10</v>
      </c>
      <c r="C425" s="21">
        <v>20</v>
      </c>
      <c r="D425" s="21">
        <v>1886</v>
      </c>
      <c r="E425" s="21">
        <v>1736</v>
      </c>
    </row>
    <row r="426" spans="1:5" ht="14.25" customHeight="1" x14ac:dyDescent="0.2">
      <c r="A426" s="14">
        <v>43979</v>
      </c>
      <c r="B426" s="5" t="s">
        <v>20</v>
      </c>
      <c r="C426" s="21">
        <v>20</v>
      </c>
      <c r="D426" s="21">
        <v>1875</v>
      </c>
      <c r="E426" s="21">
        <v>1701</v>
      </c>
    </row>
    <row r="427" spans="1:5" ht="14.25" customHeight="1" x14ac:dyDescent="0.2">
      <c r="A427" s="14">
        <v>43979</v>
      </c>
      <c r="B427" s="5" t="s">
        <v>22</v>
      </c>
      <c r="C427" s="21">
        <v>54</v>
      </c>
      <c r="D427" s="21">
        <v>12409</v>
      </c>
      <c r="E427" s="21">
        <v>11582</v>
      </c>
    </row>
    <row r="428" spans="1:5" ht="14.25" customHeight="1" x14ac:dyDescent="0.2">
      <c r="A428" s="14">
        <v>43979</v>
      </c>
      <c r="B428" s="5" t="s">
        <v>21</v>
      </c>
      <c r="C428" s="21">
        <v>60</v>
      </c>
      <c r="D428" s="21">
        <v>12854</v>
      </c>
      <c r="E428" s="21">
        <v>11954</v>
      </c>
    </row>
    <row r="429" spans="1:5" ht="14.25" customHeight="1" x14ac:dyDescent="0.2">
      <c r="A429" s="14">
        <v>43979</v>
      </c>
      <c r="B429" s="5" t="s">
        <v>13</v>
      </c>
      <c r="C429" s="21">
        <v>20</v>
      </c>
      <c r="D429" s="21">
        <v>2088</v>
      </c>
      <c r="E429" s="21">
        <v>1848</v>
      </c>
    </row>
    <row r="430" spans="1:5" ht="14.25" customHeight="1" x14ac:dyDescent="0.2">
      <c r="A430" s="14">
        <v>43979</v>
      </c>
      <c r="B430" s="5" t="s">
        <v>23</v>
      </c>
      <c r="C430" s="21">
        <v>18</v>
      </c>
      <c r="D430" s="21">
        <v>1020</v>
      </c>
      <c r="E430" s="21">
        <v>911</v>
      </c>
    </row>
    <row r="431" spans="1:5" ht="14.25" customHeight="1" x14ac:dyDescent="0.2">
      <c r="A431" s="14">
        <v>43979</v>
      </c>
      <c r="B431" s="5" t="s">
        <v>18</v>
      </c>
      <c r="C431" s="21">
        <v>17</v>
      </c>
      <c r="D431" s="21">
        <v>1097</v>
      </c>
      <c r="E431" s="21">
        <v>968</v>
      </c>
    </row>
    <row r="432" spans="1:5" ht="14.25" customHeight="1" x14ac:dyDescent="0.2">
      <c r="A432" s="14">
        <v>43979</v>
      </c>
      <c r="B432" s="5" t="s">
        <v>19</v>
      </c>
      <c r="C432" s="21">
        <v>16</v>
      </c>
      <c r="D432" s="21">
        <v>876</v>
      </c>
      <c r="E432" s="21">
        <v>762</v>
      </c>
    </row>
    <row r="433" spans="1:5" ht="14.25" customHeight="1" x14ac:dyDescent="0.2">
      <c r="A433" s="14">
        <v>43979</v>
      </c>
      <c r="B433" s="5" t="s">
        <v>9</v>
      </c>
      <c r="C433" s="21">
        <v>15</v>
      </c>
      <c r="D433" s="21">
        <v>464</v>
      </c>
      <c r="E433" s="21">
        <v>390</v>
      </c>
    </row>
    <row r="434" spans="1:5" ht="14.25" customHeight="1" x14ac:dyDescent="0.2">
      <c r="A434" s="14">
        <v>43979</v>
      </c>
      <c r="B434" s="5" t="s">
        <v>15</v>
      </c>
      <c r="C434" s="21">
        <v>124</v>
      </c>
      <c r="D434" s="21">
        <v>20868</v>
      </c>
      <c r="E434" s="21">
        <v>19342</v>
      </c>
    </row>
    <row r="435" spans="1:5" ht="14.25" customHeight="1" x14ac:dyDescent="0.2">
      <c r="A435" s="14">
        <v>43979</v>
      </c>
      <c r="B435" s="5" t="s">
        <v>14</v>
      </c>
      <c r="C435" s="21">
        <v>129</v>
      </c>
      <c r="D435" s="21">
        <v>16453</v>
      </c>
      <c r="E435" s="21">
        <v>15289</v>
      </c>
    </row>
    <row r="436" spans="1:5" ht="14.25" customHeight="1" x14ac:dyDescent="0.2">
      <c r="A436" s="14">
        <v>43979</v>
      </c>
      <c r="B436" s="5" t="s">
        <v>12</v>
      </c>
      <c r="C436" s="21">
        <v>10</v>
      </c>
      <c r="D436" s="21">
        <v>791</v>
      </c>
      <c r="E436" s="21">
        <v>697</v>
      </c>
    </row>
    <row r="437" spans="1:5" ht="14.25" customHeight="1" x14ac:dyDescent="0.2">
      <c r="A437" s="14">
        <v>43979</v>
      </c>
      <c r="B437" s="5" t="s">
        <v>24</v>
      </c>
      <c r="C437" s="21">
        <v>7</v>
      </c>
      <c r="D437" s="21">
        <v>420</v>
      </c>
      <c r="E437" s="21">
        <v>347</v>
      </c>
    </row>
    <row r="438" spans="1:5" ht="14.25" customHeight="1" x14ac:dyDescent="0.2">
      <c r="A438" s="14">
        <v>43980</v>
      </c>
      <c r="B438" s="5" t="s">
        <v>16</v>
      </c>
      <c r="C438" s="21">
        <v>37</v>
      </c>
      <c r="D438" s="21">
        <v>5672</v>
      </c>
      <c r="E438" s="21">
        <v>5198</v>
      </c>
    </row>
    <row r="439" spans="1:5" ht="14.25" customHeight="1" x14ac:dyDescent="0.2">
      <c r="A439" s="14">
        <v>43980</v>
      </c>
      <c r="B439" s="5" t="s">
        <v>11</v>
      </c>
      <c r="C439" s="21">
        <v>31</v>
      </c>
      <c r="D439" s="21">
        <v>5751</v>
      </c>
      <c r="E439" s="21">
        <v>5319</v>
      </c>
    </row>
    <row r="440" spans="1:5" ht="14.25" customHeight="1" x14ac:dyDescent="0.2">
      <c r="A440" s="14">
        <v>43980</v>
      </c>
      <c r="B440" s="5" t="s">
        <v>17</v>
      </c>
      <c r="C440" s="21">
        <v>22</v>
      </c>
      <c r="D440" s="21">
        <v>2597</v>
      </c>
      <c r="E440" s="21">
        <v>2379</v>
      </c>
    </row>
    <row r="441" spans="1:5" ht="14.25" customHeight="1" x14ac:dyDescent="0.2">
      <c r="A441" s="14">
        <v>43980</v>
      </c>
      <c r="B441" s="5" t="s">
        <v>10</v>
      </c>
      <c r="C441" s="21">
        <v>20</v>
      </c>
      <c r="D441" s="21">
        <v>2111</v>
      </c>
      <c r="E441" s="21">
        <v>1917</v>
      </c>
    </row>
    <row r="442" spans="1:5" ht="14.25" customHeight="1" x14ac:dyDescent="0.2">
      <c r="A442" s="14">
        <v>43980</v>
      </c>
      <c r="B442" s="5" t="s">
        <v>20</v>
      </c>
      <c r="C442" s="21">
        <v>20</v>
      </c>
      <c r="D442" s="21">
        <v>2064</v>
      </c>
      <c r="E442" s="21">
        <v>1896</v>
      </c>
    </row>
    <row r="443" spans="1:5" ht="14.25" customHeight="1" x14ac:dyDescent="0.2">
      <c r="A443" s="14">
        <v>43980</v>
      </c>
      <c r="B443" s="5" t="s">
        <v>22</v>
      </c>
      <c r="C443" s="21">
        <v>54</v>
      </c>
      <c r="D443" s="21">
        <v>14031</v>
      </c>
      <c r="E443" s="21">
        <v>12943</v>
      </c>
    </row>
    <row r="444" spans="1:5" ht="14.25" customHeight="1" x14ac:dyDescent="0.2">
      <c r="A444" s="14">
        <v>43980</v>
      </c>
      <c r="B444" s="5" t="s">
        <v>21</v>
      </c>
      <c r="C444" s="21">
        <v>59</v>
      </c>
      <c r="D444" s="21">
        <v>14507</v>
      </c>
      <c r="E444" s="21">
        <v>13386</v>
      </c>
    </row>
    <row r="445" spans="1:5" ht="14.25" customHeight="1" x14ac:dyDescent="0.2">
      <c r="A445" s="14">
        <v>43980</v>
      </c>
      <c r="B445" s="5" t="s">
        <v>13</v>
      </c>
      <c r="C445" s="21">
        <v>20</v>
      </c>
      <c r="D445" s="21">
        <v>2249</v>
      </c>
      <c r="E445" s="21">
        <v>2000</v>
      </c>
    </row>
    <row r="446" spans="1:5" ht="14.25" customHeight="1" x14ac:dyDescent="0.2">
      <c r="A446" s="14">
        <v>43980</v>
      </c>
      <c r="B446" s="5" t="s">
        <v>23</v>
      </c>
      <c r="C446" s="21">
        <v>18</v>
      </c>
      <c r="D446" s="21">
        <v>1014</v>
      </c>
      <c r="E446" s="21">
        <v>893</v>
      </c>
    </row>
    <row r="447" spans="1:5" ht="14.25" customHeight="1" x14ac:dyDescent="0.2">
      <c r="A447" s="14">
        <v>43980</v>
      </c>
      <c r="B447" s="5" t="s">
        <v>18</v>
      </c>
      <c r="C447" s="21">
        <v>17</v>
      </c>
      <c r="D447" s="21">
        <v>1296</v>
      </c>
      <c r="E447" s="21">
        <v>1153</v>
      </c>
    </row>
    <row r="448" spans="1:5" ht="14.25" customHeight="1" x14ac:dyDescent="0.2">
      <c r="A448" s="14">
        <v>43980</v>
      </c>
      <c r="B448" s="5" t="s">
        <v>19</v>
      </c>
      <c r="C448" s="21">
        <v>16</v>
      </c>
      <c r="D448" s="21">
        <v>981</v>
      </c>
      <c r="E448" s="21">
        <v>859</v>
      </c>
    </row>
    <row r="449" spans="1:5" ht="14.25" customHeight="1" x14ac:dyDescent="0.2">
      <c r="A449" s="14">
        <v>43980</v>
      </c>
      <c r="B449" s="5" t="s">
        <v>9</v>
      </c>
      <c r="C449" s="21">
        <v>15</v>
      </c>
      <c r="D449" s="21">
        <v>400</v>
      </c>
      <c r="E449" s="21">
        <v>329</v>
      </c>
    </row>
    <row r="450" spans="1:5" ht="14.25" customHeight="1" x14ac:dyDescent="0.2">
      <c r="A450" s="14">
        <v>43980</v>
      </c>
      <c r="B450" s="5" t="s">
        <v>15</v>
      </c>
      <c r="C450" s="21">
        <v>124</v>
      </c>
      <c r="D450" s="21">
        <v>25828</v>
      </c>
      <c r="E450" s="21">
        <v>23974</v>
      </c>
    </row>
    <row r="451" spans="1:5" ht="14.25" customHeight="1" x14ac:dyDescent="0.2">
      <c r="A451" s="14">
        <v>43980</v>
      </c>
      <c r="B451" s="5" t="s">
        <v>14</v>
      </c>
      <c r="C451" s="21">
        <v>129</v>
      </c>
      <c r="D451" s="21">
        <v>22403</v>
      </c>
      <c r="E451" s="21">
        <v>20676</v>
      </c>
    </row>
    <row r="452" spans="1:5" ht="14.25" customHeight="1" x14ac:dyDescent="0.2">
      <c r="A452" s="14">
        <v>43980</v>
      </c>
      <c r="B452" s="5" t="s">
        <v>12</v>
      </c>
      <c r="C452" s="21">
        <v>10</v>
      </c>
      <c r="D452" s="21">
        <v>873</v>
      </c>
      <c r="E452" s="21">
        <v>770</v>
      </c>
    </row>
    <row r="453" spans="1:5" ht="14.25" customHeight="1" x14ac:dyDescent="0.2">
      <c r="A453" s="14">
        <v>43980</v>
      </c>
      <c r="B453" s="5" t="s">
        <v>24</v>
      </c>
      <c r="C453" s="21">
        <v>7</v>
      </c>
      <c r="D453" s="21">
        <v>491</v>
      </c>
      <c r="E453" s="21">
        <v>411</v>
      </c>
    </row>
    <row r="454" spans="1:5" ht="14.25" customHeight="1" x14ac:dyDescent="0.2">
      <c r="A454" s="14">
        <v>43981</v>
      </c>
      <c r="B454" s="5" t="s">
        <v>16</v>
      </c>
      <c r="C454" s="21">
        <v>37</v>
      </c>
      <c r="D454" s="21">
        <v>6645</v>
      </c>
      <c r="E454" s="21">
        <v>6122</v>
      </c>
    </row>
    <row r="455" spans="1:5" ht="14.25" customHeight="1" x14ac:dyDescent="0.2">
      <c r="A455" s="14">
        <v>43981</v>
      </c>
      <c r="B455" s="5" t="s">
        <v>11</v>
      </c>
      <c r="C455" s="21">
        <v>31</v>
      </c>
      <c r="D455" s="21">
        <v>6735</v>
      </c>
      <c r="E455" s="21">
        <v>6264</v>
      </c>
    </row>
    <row r="456" spans="1:5" ht="14.25" customHeight="1" x14ac:dyDescent="0.2">
      <c r="A456" s="14">
        <v>43981</v>
      </c>
      <c r="B456" s="5" t="s">
        <v>17</v>
      </c>
      <c r="C456" s="21">
        <v>22</v>
      </c>
      <c r="D456" s="21">
        <v>2793</v>
      </c>
      <c r="E456" s="21">
        <v>2539</v>
      </c>
    </row>
    <row r="457" spans="1:5" ht="14.25" customHeight="1" x14ac:dyDescent="0.2">
      <c r="A457" s="14">
        <v>43981</v>
      </c>
      <c r="B457" s="5" t="s">
        <v>10</v>
      </c>
      <c r="C457" s="21">
        <v>20</v>
      </c>
      <c r="D457" s="21">
        <v>2597</v>
      </c>
      <c r="E457" s="21">
        <v>2376</v>
      </c>
    </row>
    <row r="458" spans="1:5" ht="14.25" customHeight="1" x14ac:dyDescent="0.2">
      <c r="A458" s="14">
        <v>43981</v>
      </c>
      <c r="B458" s="5" t="s">
        <v>20</v>
      </c>
      <c r="C458" s="21">
        <v>20</v>
      </c>
      <c r="D458" s="21">
        <v>2174</v>
      </c>
      <c r="E458" s="21">
        <v>1957</v>
      </c>
    </row>
    <row r="459" spans="1:5" ht="14.25" customHeight="1" x14ac:dyDescent="0.2">
      <c r="A459" s="14">
        <v>43981</v>
      </c>
      <c r="B459" s="5" t="s">
        <v>22</v>
      </c>
      <c r="C459" s="21">
        <v>54</v>
      </c>
      <c r="D459" s="21">
        <v>14590</v>
      </c>
      <c r="E459" s="21">
        <v>13551</v>
      </c>
    </row>
    <row r="460" spans="1:5" ht="14.25" customHeight="1" x14ac:dyDescent="0.2">
      <c r="A460" s="14">
        <v>43981</v>
      </c>
      <c r="B460" s="5" t="s">
        <v>21</v>
      </c>
      <c r="C460" s="21">
        <v>59</v>
      </c>
      <c r="D460" s="21">
        <v>15030</v>
      </c>
      <c r="E460" s="21">
        <v>13956</v>
      </c>
    </row>
    <row r="461" spans="1:5" ht="14.25" customHeight="1" x14ac:dyDescent="0.2">
      <c r="A461" s="14">
        <v>43981</v>
      </c>
      <c r="B461" s="5" t="s">
        <v>13</v>
      </c>
      <c r="C461" s="21">
        <v>20</v>
      </c>
      <c r="D461" s="21">
        <v>2451</v>
      </c>
      <c r="E461" s="21">
        <v>2178</v>
      </c>
    </row>
    <row r="462" spans="1:5" ht="14.25" customHeight="1" x14ac:dyDescent="0.2">
      <c r="A462" s="14">
        <v>43981</v>
      </c>
      <c r="B462" s="5" t="s">
        <v>23</v>
      </c>
      <c r="C462" s="21">
        <v>18</v>
      </c>
      <c r="D462" s="21">
        <v>1216</v>
      </c>
      <c r="E462" s="21">
        <v>1101</v>
      </c>
    </row>
    <row r="463" spans="1:5" ht="14.25" customHeight="1" x14ac:dyDescent="0.2">
      <c r="A463" s="14">
        <v>43981</v>
      </c>
      <c r="B463" s="5" t="s">
        <v>18</v>
      </c>
      <c r="C463" s="21">
        <v>17</v>
      </c>
      <c r="D463" s="21">
        <v>1697</v>
      </c>
      <c r="E463" s="21">
        <v>1499</v>
      </c>
    </row>
    <row r="464" spans="1:5" ht="14.25" customHeight="1" x14ac:dyDescent="0.2">
      <c r="A464" s="14">
        <v>43981</v>
      </c>
      <c r="B464" s="5" t="s">
        <v>19</v>
      </c>
      <c r="C464" s="21">
        <v>16</v>
      </c>
      <c r="D464" s="21">
        <v>1048</v>
      </c>
      <c r="E464" s="21">
        <v>918</v>
      </c>
    </row>
    <row r="465" spans="1:5" ht="14.25" customHeight="1" x14ac:dyDescent="0.2">
      <c r="A465" s="14">
        <v>43981</v>
      </c>
      <c r="B465" s="5" t="s">
        <v>9</v>
      </c>
      <c r="C465" s="21">
        <v>15</v>
      </c>
      <c r="D465" s="21">
        <v>490</v>
      </c>
      <c r="E465" s="21">
        <v>409</v>
      </c>
    </row>
    <row r="466" spans="1:5" ht="14.25" customHeight="1" x14ac:dyDescent="0.2">
      <c r="A466" s="14">
        <v>43981</v>
      </c>
      <c r="B466" s="5" t="s">
        <v>15</v>
      </c>
      <c r="C466" s="21">
        <v>124</v>
      </c>
      <c r="D466" s="21">
        <v>24325</v>
      </c>
      <c r="E466" s="21">
        <v>22469</v>
      </c>
    </row>
    <row r="467" spans="1:5" ht="14.25" customHeight="1" x14ac:dyDescent="0.2">
      <c r="A467" s="14">
        <v>43981</v>
      </c>
      <c r="B467" s="5" t="s">
        <v>14</v>
      </c>
      <c r="C467" s="21">
        <v>129</v>
      </c>
      <c r="D467" s="21">
        <v>20243</v>
      </c>
      <c r="E467" s="21">
        <v>18711</v>
      </c>
    </row>
    <row r="468" spans="1:5" ht="14.25" customHeight="1" x14ac:dyDescent="0.2">
      <c r="A468" s="14">
        <v>43981</v>
      </c>
      <c r="B468" s="5" t="s">
        <v>12</v>
      </c>
      <c r="C468" s="21">
        <v>10</v>
      </c>
      <c r="D468" s="21">
        <v>865</v>
      </c>
      <c r="E468" s="21">
        <v>763</v>
      </c>
    </row>
    <row r="469" spans="1:5" ht="14.25" customHeight="1" x14ac:dyDescent="0.2">
      <c r="A469" s="14">
        <v>43981</v>
      </c>
      <c r="B469" s="5" t="s">
        <v>24</v>
      </c>
      <c r="C469" s="21">
        <v>7</v>
      </c>
      <c r="D469" s="21">
        <v>532</v>
      </c>
      <c r="E469" s="21">
        <v>449</v>
      </c>
    </row>
    <row r="470" spans="1:5" ht="14.25" customHeight="1" x14ac:dyDescent="0.2">
      <c r="A470" s="14">
        <v>43982</v>
      </c>
      <c r="B470" s="5" t="s">
        <v>16</v>
      </c>
      <c r="C470" s="21">
        <v>37</v>
      </c>
      <c r="D470" s="21">
        <v>5215</v>
      </c>
      <c r="E470" s="21">
        <v>4848</v>
      </c>
    </row>
    <row r="471" spans="1:5" ht="14.25" customHeight="1" x14ac:dyDescent="0.2">
      <c r="A471" s="14">
        <v>43982</v>
      </c>
      <c r="B471" s="5" t="s">
        <v>11</v>
      </c>
      <c r="C471" s="21">
        <v>31</v>
      </c>
      <c r="D471" s="21">
        <v>5760</v>
      </c>
      <c r="E471" s="21">
        <v>5367</v>
      </c>
    </row>
    <row r="472" spans="1:5" ht="14.25" customHeight="1" x14ac:dyDescent="0.2">
      <c r="A472" s="14">
        <v>43982</v>
      </c>
      <c r="B472" s="5" t="s">
        <v>17</v>
      </c>
      <c r="C472" s="21">
        <v>23</v>
      </c>
      <c r="D472" s="21">
        <v>2522</v>
      </c>
      <c r="E472" s="21">
        <v>2295</v>
      </c>
    </row>
    <row r="473" spans="1:5" ht="14.25" customHeight="1" x14ac:dyDescent="0.2">
      <c r="A473" s="14">
        <v>43982</v>
      </c>
      <c r="B473" s="5" t="s">
        <v>10</v>
      </c>
      <c r="C473" s="21">
        <v>21</v>
      </c>
      <c r="D473" s="21">
        <v>2271</v>
      </c>
      <c r="E473" s="21">
        <v>2085</v>
      </c>
    </row>
    <row r="474" spans="1:5" ht="14.25" customHeight="1" x14ac:dyDescent="0.2">
      <c r="A474" s="14">
        <v>43982</v>
      </c>
      <c r="B474" s="5" t="s">
        <v>20</v>
      </c>
      <c r="C474" s="21">
        <v>21</v>
      </c>
      <c r="D474" s="21">
        <v>2056</v>
      </c>
      <c r="E474" s="21">
        <v>1879</v>
      </c>
    </row>
    <row r="475" spans="1:5" ht="14.25" customHeight="1" x14ac:dyDescent="0.2">
      <c r="A475" s="14">
        <v>43982</v>
      </c>
      <c r="B475" s="5" t="s">
        <v>22</v>
      </c>
      <c r="C475" s="21">
        <v>54</v>
      </c>
      <c r="D475" s="21">
        <v>13106</v>
      </c>
      <c r="E475" s="21">
        <v>12164</v>
      </c>
    </row>
    <row r="476" spans="1:5" ht="14.25" customHeight="1" x14ac:dyDescent="0.2">
      <c r="A476" s="14">
        <v>43982</v>
      </c>
      <c r="B476" s="5" t="s">
        <v>21</v>
      </c>
      <c r="C476" s="21">
        <v>59</v>
      </c>
      <c r="D476" s="21">
        <v>13684</v>
      </c>
      <c r="E476" s="21">
        <v>12690</v>
      </c>
    </row>
    <row r="477" spans="1:5" ht="14.25" customHeight="1" x14ac:dyDescent="0.2">
      <c r="A477" s="14">
        <v>43982</v>
      </c>
      <c r="B477" s="5" t="s">
        <v>13</v>
      </c>
      <c r="C477" s="21">
        <v>20</v>
      </c>
      <c r="D477" s="21">
        <v>2060</v>
      </c>
      <c r="E477" s="21">
        <v>1826</v>
      </c>
    </row>
    <row r="478" spans="1:5" ht="14.25" customHeight="1" x14ac:dyDescent="0.2">
      <c r="A478" s="14">
        <v>43982</v>
      </c>
      <c r="B478" s="5" t="s">
        <v>23</v>
      </c>
      <c r="C478" s="21">
        <v>18</v>
      </c>
      <c r="D478" s="21">
        <v>1029</v>
      </c>
      <c r="E478" s="21">
        <v>925</v>
      </c>
    </row>
    <row r="479" spans="1:5" ht="14.25" customHeight="1" x14ac:dyDescent="0.2">
      <c r="A479" s="14">
        <v>43982</v>
      </c>
      <c r="B479" s="5" t="s">
        <v>18</v>
      </c>
      <c r="C479" s="21">
        <v>17</v>
      </c>
      <c r="D479" s="21">
        <v>1186</v>
      </c>
      <c r="E479" s="21">
        <v>1054</v>
      </c>
    </row>
    <row r="480" spans="1:5" ht="14.25" customHeight="1" x14ac:dyDescent="0.2">
      <c r="A480" s="14">
        <v>43982</v>
      </c>
      <c r="B480" s="5" t="s">
        <v>19</v>
      </c>
      <c r="C480" s="21">
        <v>16</v>
      </c>
      <c r="D480" s="21">
        <v>917</v>
      </c>
      <c r="E480" s="21">
        <v>802</v>
      </c>
    </row>
    <row r="481" spans="1:5" ht="14.25" customHeight="1" x14ac:dyDescent="0.2">
      <c r="A481" s="14">
        <v>43982</v>
      </c>
      <c r="B481" s="5" t="s">
        <v>9</v>
      </c>
      <c r="C481" s="21">
        <v>15</v>
      </c>
      <c r="D481" s="21">
        <v>441</v>
      </c>
      <c r="E481" s="21">
        <v>368</v>
      </c>
    </row>
    <row r="482" spans="1:5" ht="14.25" customHeight="1" x14ac:dyDescent="0.2">
      <c r="A482" s="14">
        <v>43982</v>
      </c>
      <c r="B482" s="5" t="s">
        <v>15</v>
      </c>
      <c r="C482" s="21">
        <v>124</v>
      </c>
      <c r="D482" s="21">
        <v>21392</v>
      </c>
      <c r="E482" s="21">
        <v>19869</v>
      </c>
    </row>
    <row r="483" spans="1:5" ht="14.25" customHeight="1" x14ac:dyDescent="0.2">
      <c r="A483" s="14">
        <v>43982</v>
      </c>
      <c r="B483" s="5" t="s">
        <v>14</v>
      </c>
      <c r="C483" s="21">
        <v>129</v>
      </c>
      <c r="D483" s="21">
        <v>17235</v>
      </c>
      <c r="E483" s="21">
        <v>16052</v>
      </c>
    </row>
    <row r="484" spans="1:5" ht="14.25" customHeight="1" x14ac:dyDescent="0.2">
      <c r="A484" s="14">
        <v>43982</v>
      </c>
      <c r="B484" s="5" t="s">
        <v>12</v>
      </c>
      <c r="C484" s="21">
        <v>10</v>
      </c>
      <c r="D484" s="21">
        <v>749</v>
      </c>
      <c r="E484" s="21">
        <v>655</v>
      </c>
    </row>
    <row r="485" spans="1:5" ht="14.25" customHeight="1" x14ac:dyDescent="0.2">
      <c r="A485" s="14">
        <v>43982</v>
      </c>
      <c r="B485" s="5" t="s">
        <v>25</v>
      </c>
      <c r="C485" s="21">
        <v>9</v>
      </c>
      <c r="D485" s="21">
        <v>345</v>
      </c>
      <c r="E485" s="21">
        <v>255</v>
      </c>
    </row>
    <row r="486" spans="1:5" ht="14.25" customHeight="1" x14ac:dyDescent="0.2">
      <c r="A486" s="14">
        <v>43982</v>
      </c>
      <c r="B486" s="5" t="s">
        <v>24</v>
      </c>
      <c r="C486" s="21">
        <v>7</v>
      </c>
      <c r="D486" s="21">
        <v>530</v>
      </c>
      <c r="E486" s="21">
        <v>447</v>
      </c>
    </row>
    <row r="487" spans="1:5" ht="14.25" customHeight="1" x14ac:dyDescent="0.2">
      <c r="A487" s="14">
        <v>43982</v>
      </c>
      <c r="B487" s="5" t="s">
        <v>26</v>
      </c>
      <c r="C487" s="21">
        <v>6</v>
      </c>
      <c r="D487" s="21">
        <v>261</v>
      </c>
      <c r="E487" s="21">
        <v>188</v>
      </c>
    </row>
    <row r="488" spans="1:5" ht="14.25" customHeight="1" x14ac:dyDescent="0.2">
      <c r="A488" s="14">
        <v>43983</v>
      </c>
      <c r="B488" s="5" t="s">
        <v>16</v>
      </c>
      <c r="C488" s="21">
        <v>37</v>
      </c>
      <c r="D488" s="21">
        <v>4722</v>
      </c>
      <c r="E488" s="21">
        <v>4352</v>
      </c>
    </row>
    <row r="489" spans="1:5" ht="14.25" customHeight="1" x14ac:dyDescent="0.2">
      <c r="A489" s="14">
        <v>43983</v>
      </c>
      <c r="B489" s="5" t="s">
        <v>11</v>
      </c>
      <c r="C489" s="21">
        <v>31</v>
      </c>
      <c r="D489" s="21">
        <v>5468</v>
      </c>
      <c r="E489" s="21">
        <v>5081</v>
      </c>
    </row>
    <row r="490" spans="1:5" ht="14.25" customHeight="1" x14ac:dyDescent="0.2">
      <c r="A490" s="14">
        <v>43983</v>
      </c>
      <c r="B490" s="5" t="s">
        <v>17</v>
      </c>
      <c r="C490" s="21">
        <v>23</v>
      </c>
      <c r="D490" s="21">
        <v>2531</v>
      </c>
      <c r="E490" s="21">
        <v>2296</v>
      </c>
    </row>
    <row r="491" spans="1:5" ht="14.25" customHeight="1" x14ac:dyDescent="0.2">
      <c r="A491" s="14">
        <v>43983</v>
      </c>
      <c r="B491" s="5" t="s">
        <v>10</v>
      </c>
      <c r="C491" s="21">
        <v>21</v>
      </c>
      <c r="D491" s="21">
        <v>2025</v>
      </c>
      <c r="E491" s="21">
        <v>1849</v>
      </c>
    </row>
    <row r="492" spans="1:5" ht="14.25" customHeight="1" x14ac:dyDescent="0.2">
      <c r="A492" s="14">
        <v>43983</v>
      </c>
      <c r="B492" s="5" t="s">
        <v>20</v>
      </c>
      <c r="C492" s="21">
        <v>21</v>
      </c>
      <c r="D492" s="21">
        <v>1879</v>
      </c>
      <c r="E492" s="21">
        <v>1720</v>
      </c>
    </row>
    <row r="493" spans="1:5" ht="14.25" customHeight="1" x14ac:dyDescent="0.2">
      <c r="A493" s="14">
        <v>43983</v>
      </c>
      <c r="B493" s="5" t="s">
        <v>22</v>
      </c>
      <c r="C493" s="21">
        <v>54</v>
      </c>
      <c r="D493" s="21">
        <v>11864</v>
      </c>
      <c r="E493" s="21">
        <v>11071</v>
      </c>
    </row>
    <row r="494" spans="1:5" ht="14.25" customHeight="1" x14ac:dyDescent="0.2">
      <c r="A494" s="14">
        <v>43983</v>
      </c>
      <c r="B494" s="5" t="s">
        <v>21</v>
      </c>
      <c r="C494" s="21">
        <v>59</v>
      </c>
      <c r="D494" s="21">
        <v>12299</v>
      </c>
      <c r="E494" s="21">
        <v>11448</v>
      </c>
    </row>
    <row r="495" spans="1:5" ht="14.25" customHeight="1" x14ac:dyDescent="0.2">
      <c r="A495" s="14">
        <v>43983</v>
      </c>
      <c r="B495" s="5" t="s">
        <v>13</v>
      </c>
      <c r="C495" s="21">
        <v>20</v>
      </c>
      <c r="D495" s="21">
        <v>2136</v>
      </c>
      <c r="E495" s="21">
        <v>1899</v>
      </c>
    </row>
    <row r="496" spans="1:5" ht="14.25" customHeight="1" x14ac:dyDescent="0.2">
      <c r="A496" s="14">
        <v>43983</v>
      </c>
      <c r="B496" s="5" t="s">
        <v>23</v>
      </c>
      <c r="C496" s="21">
        <v>18</v>
      </c>
      <c r="D496" s="21">
        <v>923</v>
      </c>
      <c r="E496" s="21">
        <v>824</v>
      </c>
    </row>
    <row r="497" spans="1:5" ht="14.25" customHeight="1" x14ac:dyDescent="0.2">
      <c r="A497" s="14">
        <v>43983</v>
      </c>
      <c r="B497" s="5" t="s">
        <v>18</v>
      </c>
      <c r="C497" s="21">
        <v>17</v>
      </c>
      <c r="D497" s="21">
        <v>1185</v>
      </c>
      <c r="E497" s="21">
        <v>1042</v>
      </c>
    </row>
    <row r="498" spans="1:5" ht="14.25" customHeight="1" x14ac:dyDescent="0.2">
      <c r="A498" s="14">
        <v>43983</v>
      </c>
      <c r="B498" s="5" t="s">
        <v>19</v>
      </c>
      <c r="C498" s="21">
        <v>16</v>
      </c>
      <c r="D498" s="21">
        <v>1019</v>
      </c>
      <c r="E498" s="21">
        <v>895</v>
      </c>
    </row>
    <row r="499" spans="1:5" ht="14.25" customHeight="1" x14ac:dyDescent="0.2">
      <c r="A499" s="14">
        <v>43983</v>
      </c>
      <c r="B499" s="5" t="s">
        <v>9</v>
      </c>
      <c r="C499" s="21">
        <v>15</v>
      </c>
      <c r="D499" s="21">
        <v>453</v>
      </c>
      <c r="E499" s="21">
        <v>370</v>
      </c>
    </row>
    <row r="500" spans="1:5" ht="14.25" customHeight="1" x14ac:dyDescent="0.2">
      <c r="A500" s="14">
        <v>43983</v>
      </c>
      <c r="B500" s="5" t="s">
        <v>15</v>
      </c>
      <c r="C500" s="21">
        <v>123</v>
      </c>
      <c r="D500" s="21">
        <v>20325</v>
      </c>
      <c r="E500" s="21">
        <v>18935</v>
      </c>
    </row>
    <row r="501" spans="1:5" ht="14.25" customHeight="1" x14ac:dyDescent="0.2">
      <c r="A501" s="14">
        <v>43983</v>
      </c>
      <c r="B501" s="5" t="s">
        <v>14</v>
      </c>
      <c r="C501" s="21">
        <v>128</v>
      </c>
      <c r="D501" s="21">
        <v>16285</v>
      </c>
      <c r="E501" s="21">
        <v>15130</v>
      </c>
    </row>
    <row r="502" spans="1:5" ht="14.25" customHeight="1" x14ac:dyDescent="0.2">
      <c r="A502" s="14">
        <v>43983</v>
      </c>
      <c r="B502" s="5" t="s">
        <v>12</v>
      </c>
      <c r="C502" s="21">
        <v>10</v>
      </c>
      <c r="D502" s="21">
        <v>719</v>
      </c>
      <c r="E502" s="21">
        <v>627</v>
      </c>
    </row>
    <row r="503" spans="1:5" ht="14.25" customHeight="1" x14ac:dyDescent="0.2">
      <c r="A503" s="14">
        <v>43983</v>
      </c>
      <c r="B503" s="5" t="s">
        <v>25</v>
      </c>
      <c r="C503" s="21">
        <v>9</v>
      </c>
      <c r="D503" s="21">
        <v>294</v>
      </c>
      <c r="E503" s="21">
        <v>224</v>
      </c>
    </row>
    <row r="504" spans="1:5" ht="14.25" customHeight="1" x14ac:dyDescent="0.2">
      <c r="A504" s="14">
        <v>43983</v>
      </c>
      <c r="B504" s="5" t="s">
        <v>24</v>
      </c>
      <c r="C504" s="21">
        <v>7</v>
      </c>
      <c r="D504" s="21">
        <v>500</v>
      </c>
      <c r="E504" s="21">
        <v>418</v>
      </c>
    </row>
    <row r="505" spans="1:5" ht="14.25" customHeight="1" x14ac:dyDescent="0.2">
      <c r="A505" s="14">
        <v>43983</v>
      </c>
      <c r="B505" s="5" t="s">
        <v>26</v>
      </c>
      <c r="C505" s="21">
        <v>6</v>
      </c>
      <c r="D505" s="21">
        <v>237</v>
      </c>
      <c r="E505" s="21">
        <v>175</v>
      </c>
    </row>
    <row r="506" spans="1:5" ht="14.25" customHeight="1" x14ac:dyDescent="0.2"/>
    <row r="507" spans="1:5" ht="14.25" customHeight="1" x14ac:dyDescent="0.2"/>
    <row r="508" spans="1:5" ht="14.25" customHeight="1" x14ac:dyDescent="0.2"/>
    <row r="509" spans="1:5" ht="14.25" customHeight="1" x14ac:dyDescent="0.2"/>
    <row r="510" spans="1:5" ht="14.25" customHeight="1" x14ac:dyDescent="0.2"/>
    <row r="511" spans="1:5" ht="14.25" customHeight="1" x14ac:dyDescent="0.2"/>
    <row r="512" spans="1:5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4117-C7A2-4F4E-B11C-25A031B767AF}">
  <dimension ref="A1:O21"/>
  <sheetViews>
    <sheetView zoomScale="107" workbookViewId="0">
      <selection activeCell="I13" sqref="I13"/>
    </sheetView>
  </sheetViews>
  <sheetFormatPr baseColWidth="10" defaultRowHeight="15" x14ac:dyDescent="0.2"/>
  <cols>
    <col min="1" max="1" width="19.33203125" bestFit="1" customWidth="1"/>
    <col min="2" max="2" width="12.5" bestFit="1" customWidth="1"/>
    <col min="3" max="3" width="20" bestFit="1" customWidth="1"/>
    <col min="6" max="6" width="19.5" bestFit="1" customWidth="1"/>
    <col min="7" max="7" width="11.6640625" bestFit="1" customWidth="1"/>
    <col min="8" max="8" width="7" bestFit="1" customWidth="1"/>
    <col min="11" max="11" width="19.33203125" bestFit="1" customWidth="1"/>
    <col min="12" max="12" width="17.6640625" bestFit="1" customWidth="1"/>
    <col min="13" max="13" width="13.33203125" customWidth="1"/>
    <col min="14" max="14" width="19.33203125" bestFit="1" customWidth="1"/>
    <col min="15" max="15" width="12.1640625" bestFit="1" customWidth="1"/>
    <col min="16" max="16" width="19.33203125" bestFit="1" customWidth="1"/>
    <col min="17" max="17" width="12.1640625" bestFit="1" customWidth="1"/>
  </cols>
  <sheetData>
    <row r="1" spans="1:15" ht="15" customHeight="1" x14ac:dyDescent="0.2">
      <c r="A1" s="22" t="s">
        <v>8</v>
      </c>
      <c r="B1" s="23">
        <v>23</v>
      </c>
      <c r="F1" s="50" t="s">
        <v>28</v>
      </c>
      <c r="G1" s="51"/>
      <c r="H1" s="52"/>
      <c r="K1" s="22" t="s">
        <v>8</v>
      </c>
      <c r="L1" s="23">
        <v>23</v>
      </c>
      <c r="N1" s="50" t="s">
        <v>29</v>
      </c>
      <c r="O1" s="59"/>
    </row>
    <row r="2" spans="1:15" x14ac:dyDescent="0.2">
      <c r="F2" s="53"/>
      <c r="G2" s="54"/>
      <c r="H2" s="55"/>
      <c r="N2" s="60"/>
      <c r="O2" s="61"/>
    </row>
    <row r="3" spans="1:15" x14ac:dyDescent="0.2">
      <c r="A3" s="22" t="s">
        <v>1</v>
      </c>
      <c r="B3" t="s">
        <v>30</v>
      </c>
      <c r="C3" t="s">
        <v>32</v>
      </c>
      <c r="F3" s="56"/>
      <c r="G3" s="57"/>
      <c r="H3" s="58"/>
      <c r="K3" s="22" t="s">
        <v>1</v>
      </c>
      <c r="L3" t="s">
        <v>31</v>
      </c>
      <c r="N3" s="62"/>
      <c r="O3" s="63"/>
    </row>
    <row r="4" spans="1:15" x14ac:dyDescent="0.2">
      <c r="A4" s="23" t="s">
        <v>15</v>
      </c>
      <c r="B4" s="19">
        <v>37257840.18135</v>
      </c>
      <c r="C4" s="24">
        <v>0.27388950403053602</v>
      </c>
      <c r="F4" s="25" t="s">
        <v>15</v>
      </c>
      <c r="G4" s="26">
        <v>37257840.18135</v>
      </c>
      <c r="H4" s="27">
        <v>0.27388950403053602</v>
      </c>
      <c r="K4" s="23" t="s">
        <v>22</v>
      </c>
      <c r="L4">
        <v>350262.86111111112</v>
      </c>
      <c r="N4" s="25" t="s">
        <v>22</v>
      </c>
      <c r="O4" s="28">
        <v>350262.86111111112</v>
      </c>
    </row>
    <row r="5" spans="1:15" x14ac:dyDescent="0.2">
      <c r="A5" s="23" t="s">
        <v>14</v>
      </c>
      <c r="B5" s="19">
        <v>27770092.5</v>
      </c>
      <c r="C5" s="24">
        <v>0.20414325749119455</v>
      </c>
      <c r="F5" s="25" t="s">
        <v>14</v>
      </c>
      <c r="G5" s="26">
        <v>27770092.5</v>
      </c>
      <c r="H5" s="27">
        <v>0.20414325749119455</v>
      </c>
      <c r="K5" s="23" t="s">
        <v>21</v>
      </c>
      <c r="L5">
        <v>329921.56779661018</v>
      </c>
      <c r="N5" s="25" t="s">
        <v>21</v>
      </c>
      <c r="O5" s="28">
        <v>329921.56779661018</v>
      </c>
    </row>
    <row r="6" spans="1:15" x14ac:dyDescent="0.2">
      <c r="A6" s="23" t="s">
        <v>21</v>
      </c>
      <c r="B6" s="19">
        <v>19465372.5</v>
      </c>
      <c r="C6" s="24">
        <v>0.14309367354212152</v>
      </c>
      <c r="F6" s="25" t="s">
        <v>21</v>
      </c>
      <c r="G6" s="26">
        <v>19465372.5</v>
      </c>
      <c r="H6" s="27">
        <v>0.14309367354212152</v>
      </c>
      <c r="K6" s="23" t="s">
        <v>15</v>
      </c>
      <c r="L6">
        <v>302909.26976707316</v>
      </c>
      <c r="N6" s="25" t="s">
        <v>15</v>
      </c>
      <c r="O6" s="28">
        <v>302909.26976707316</v>
      </c>
    </row>
    <row r="7" spans="1:15" x14ac:dyDescent="0.2">
      <c r="A7" s="23" t="s">
        <v>22</v>
      </c>
      <c r="B7" s="19">
        <v>18914194.5</v>
      </c>
      <c r="C7" s="24">
        <v>0.13904185872092562</v>
      </c>
    </row>
    <row r="8" spans="1:15" x14ac:dyDescent="0.2">
      <c r="A8" s="23" t="s">
        <v>11</v>
      </c>
      <c r="B8" s="19">
        <v>6829921.5</v>
      </c>
      <c r="C8" s="24">
        <v>5.0208058306580927E-2</v>
      </c>
    </row>
    <row r="9" spans="1:15" x14ac:dyDescent="0.2">
      <c r="A9" s="23" t="s">
        <v>16</v>
      </c>
      <c r="B9" s="19">
        <v>5800290</v>
      </c>
      <c r="C9" s="24">
        <v>4.2639040363066878E-2</v>
      </c>
    </row>
    <row r="10" spans="1:15" x14ac:dyDescent="0.2">
      <c r="A10" s="23" t="s">
        <v>17</v>
      </c>
      <c r="B10" s="19">
        <v>3865251</v>
      </c>
      <c r="C10" s="24">
        <v>2.8414198842193168E-2</v>
      </c>
    </row>
    <row r="11" spans="1:15" x14ac:dyDescent="0.2">
      <c r="A11" s="23" t="s">
        <v>13</v>
      </c>
      <c r="B11" s="19">
        <v>3013512</v>
      </c>
      <c r="C11" s="24">
        <v>2.2152902665657476E-2</v>
      </c>
    </row>
    <row r="12" spans="1:15" x14ac:dyDescent="0.2">
      <c r="A12" s="23" t="s">
        <v>10</v>
      </c>
      <c r="B12" s="19">
        <v>2945035.5</v>
      </c>
      <c r="C12" s="24">
        <v>2.1649518826673295E-2</v>
      </c>
      <c r="F12" s="41" t="s">
        <v>35</v>
      </c>
      <c r="G12" s="42"/>
      <c r="H12" s="43"/>
    </row>
    <row r="13" spans="1:15" x14ac:dyDescent="0.2">
      <c r="A13" s="23" t="s">
        <v>20</v>
      </c>
      <c r="B13" s="19">
        <v>2538967.5</v>
      </c>
      <c r="C13" s="24">
        <v>1.866443534944201E-2</v>
      </c>
      <c r="F13" s="44"/>
      <c r="G13" s="45"/>
      <c r="H13" s="46"/>
    </row>
    <row r="14" spans="1:15" x14ac:dyDescent="0.2">
      <c r="A14" s="23" t="s">
        <v>19</v>
      </c>
      <c r="B14" s="19">
        <v>1565632.5</v>
      </c>
      <c r="C14" s="24">
        <v>1.1509263737025098E-2</v>
      </c>
      <c r="F14" s="44"/>
      <c r="G14" s="45"/>
      <c r="H14" s="46"/>
    </row>
    <row r="15" spans="1:15" x14ac:dyDescent="0.2">
      <c r="A15" s="23" t="s">
        <v>18</v>
      </c>
      <c r="B15" s="19">
        <v>1526608.5</v>
      </c>
      <c r="C15" s="24">
        <v>1.1222390854612612E-2</v>
      </c>
      <c r="F15" s="44"/>
      <c r="G15" s="45"/>
      <c r="H15" s="46"/>
    </row>
    <row r="16" spans="1:15" x14ac:dyDescent="0.2">
      <c r="A16" s="23" t="s">
        <v>23</v>
      </c>
      <c r="B16" s="19">
        <v>1293219</v>
      </c>
      <c r="C16" s="24">
        <v>9.5067000338405466E-3</v>
      </c>
      <c r="F16" s="44"/>
      <c r="G16" s="45"/>
      <c r="H16" s="46"/>
    </row>
    <row r="17" spans="1:8" x14ac:dyDescent="0.2">
      <c r="A17" s="23" t="s">
        <v>12</v>
      </c>
      <c r="B17" s="19">
        <v>1007742</v>
      </c>
      <c r="C17" s="24">
        <v>7.4081040454111336E-3</v>
      </c>
      <c r="F17" s="47"/>
      <c r="G17" s="48"/>
      <c r="H17" s="49"/>
    </row>
    <row r="18" spans="1:8" x14ac:dyDescent="0.2">
      <c r="A18" s="23" t="s">
        <v>24</v>
      </c>
      <c r="B18" s="19">
        <v>802447.5</v>
      </c>
      <c r="C18" s="24">
        <v>5.8989449392602969E-3</v>
      </c>
    </row>
    <row r="19" spans="1:8" x14ac:dyDescent="0.2">
      <c r="A19" s="23" t="s">
        <v>9</v>
      </c>
      <c r="B19" s="19">
        <v>636345</v>
      </c>
      <c r="C19" s="24">
        <v>4.6778937156307342E-3</v>
      </c>
    </row>
    <row r="20" spans="1:8" x14ac:dyDescent="0.2">
      <c r="A20" s="23" t="s">
        <v>26</v>
      </c>
      <c r="B20" s="19">
        <v>410892</v>
      </c>
      <c r="C20" s="24">
        <v>3.0205456232121628E-3</v>
      </c>
    </row>
    <row r="21" spans="1:8" x14ac:dyDescent="0.2">
      <c r="A21" s="23" t="s">
        <v>25</v>
      </c>
      <c r="B21" s="19">
        <v>389013</v>
      </c>
      <c r="C21" s="24">
        <v>2.8597089126160477E-3</v>
      </c>
    </row>
  </sheetData>
  <mergeCells count="3">
    <mergeCell ref="F12:H17"/>
    <mergeCell ref="F1:H3"/>
    <mergeCell ref="N1:O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C0F9-4DA9-6D47-8DD7-EB898B277758}">
  <dimension ref="A4:G32"/>
  <sheetViews>
    <sheetView zoomScale="116" workbookViewId="0">
      <selection activeCell="E16" sqref="E16"/>
    </sheetView>
  </sheetViews>
  <sheetFormatPr baseColWidth="10" defaultRowHeight="15" x14ac:dyDescent="0.2"/>
  <cols>
    <col min="1" max="1" width="16" bestFit="1" customWidth="1"/>
    <col min="2" max="2" width="29.5" bestFit="1" customWidth="1"/>
    <col min="3" max="4" width="12.6640625" bestFit="1" customWidth="1"/>
    <col min="5" max="5" width="13.6640625" bestFit="1" customWidth="1"/>
    <col min="6" max="6" width="16" bestFit="1" customWidth="1"/>
    <col min="7" max="7" width="33.6640625" bestFit="1" customWidth="1"/>
    <col min="8" max="8" width="13.6640625" bestFit="1" customWidth="1"/>
    <col min="9" max="9" width="16" bestFit="1" customWidth="1"/>
    <col min="10" max="11" width="11.6640625" bestFit="1" customWidth="1"/>
    <col min="12" max="12" width="13.6640625" bestFit="1" customWidth="1"/>
    <col min="13" max="13" width="10.6640625" bestFit="1" customWidth="1"/>
    <col min="14" max="14" width="19.83203125" bestFit="1" customWidth="1"/>
    <col min="15" max="15" width="17.33203125" bestFit="1" customWidth="1"/>
    <col min="16" max="16" width="11.6640625" bestFit="1" customWidth="1"/>
    <col min="17" max="17" width="9.6640625" bestFit="1" customWidth="1"/>
    <col min="18" max="18" width="10.6640625" bestFit="1" customWidth="1"/>
    <col min="19" max="19" width="9.6640625" bestFit="1" customWidth="1"/>
    <col min="20" max="20" width="13.6640625" bestFit="1" customWidth="1"/>
    <col min="21" max="21" width="12" bestFit="1" customWidth="1"/>
    <col min="22" max="23" width="10.6640625" bestFit="1" customWidth="1"/>
    <col min="24" max="24" width="9.83203125" bestFit="1" customWidth="1"/>
    <col min="25" max="25" width="13" bestFit="1" customWidth="1"/>
    <col min="26" max="26" width="12.33203125" bestFit="1" customWidth="1"/>
    <col min="27" max="27" width="15.83203125" bestFit="1" customWidth="1"/>
    <col min="28" max="28" width="11.6640625" bestFit="1" customWidth="1"/>
    <col min="29" max="29" width="9.6640625" bestFit="1" customWidth="1"/>
    <col min="30" max="30" width="13.6640625" bestFit="1" customWidth="1"/>
    <col min="31" max="31" width="8.6640625" bestFit="1" customWidth="1"/>
    <col min="32" max="32" width="19.6640625" bestFit="1" customWidth="1"/>
    <col min="33" max="33" width="17.33203125" bestFit="1" customWidth="1"/>
    <col min="34" max="34" width="9.6640625" bestFit="1" customWidth="1"/>
    <col min="35" max="36" width="8.6640625" bestFit="1" customWidth="1"/>
    <col min="37" max="37" width="7.6640625" bestFit="1" customWidth="1"/>
    <col min="38" max="38" width="30.6640625" bestFit="1" customWidth="1"/>
    <col min="39" max="39" width="12" bestFit="1" customWidth="1"/>
    <col min="40" max="40" width="6.6640625" bestFit="1" customWidth="1"/>
    <col min="41" max="41" width="9.1640625" bestFit="1" customWidth="1"/>
    <col min="42" max="42" width="9.83203125" bestFit="1" customWidth="1"/>
    <col min="43" max="43" width="13" bestFit="1" customWidth="1"/>
    <col min="44" max="44" width="12.33203125" bestFit="1" customWidth="1"/>
    <col min="45" max="45" width="15.83203125" bestFit="1" customWidth="1"/>
    <col min="46" max="46" width="11.6640625" bestFit="1" customWidth="1"/>
    <col min="47" max="47" width="6.5" bestFit="1" customWidth="1"/>
    <col min="48" max="48" width="13.6640625" bestFit="1" customWidth="1"/>
    <col min="49" max="49" width="7.1640625" bestFit="1" customWidth="1"/>
    <col min="50" max="50" width="19.6640625" bestFit="1" customWidth="1"/>
    <col min="51" max="51" width="17.33203125" bestFit="1" customWidth="1"/>
    <col min="52" max="52" width="8.33203125" bestFit="1" customWidth="1"/>
    <col min="53" max="53" width="6" bestFit="1" customWidth="1"/>
    <col min="54" max="54" width="7.6640625" bestFit="1" customWidth="1"/>
    <col min="55" max="55" width="4.33203125" bestFit="1" customWidth="1"/>
    <col min="56" max="56" width="30.33203125" bestFit="1" customWidth="1"/>
    <col min="57" max="57" width="12" bestFit="1" customWidth="1"/>
    <col min="58" max="58" width="6.6640625" bestFit="1" customWidth="1"/>
    <col min="59" max="59" width="9.1640625" bestFit="1" customWidth="1"/>
    <col min="60" max="60" width="9.83203125" bestFit="1" customWidth="1"/>
    <col min="61" max="61" width="13" bestFit="1" customWidth="1"/>
    <col min="62" max="62" width="12.33203125" bestFit="1" customWidth="1"/>
    <col min="63" max="63" width="15.83203125" bestFit="1" customWidth="1"/>
    <col min="64" max="64" width="11.6640625" bestFit="1" customWidth="1"/>
    <col min="65" max="65" width="6.5" bestFit="1" customWidth="1"/>
    <col min="66" max="66" width="13.6640625" bestFit="1" customWidth="1"/>
    <col min="67" max="67" width="7.1640625" bestFit="1" customWidth="1"/>
    <col min="68" max="68" width="19.6640625" bestFit="1" customWidth="1"/>
    <col min="69" max="69" width="17.33203125" bestFit="1" customWidth="1"/>
    <col min="70" max="70" width="8.33203125" bestFit="1" customWidth="1"/>
    <col min="71" max="71" width="6" bestFit="1" customWidth="1"/>
    <col min="72" max="72" width="7.6640625" bestFit="1" customWidth="1"/>
    <col min="73" max="73" width="4.33203125" bestFit="1" customWidth="1"/>
    <col min="74" max="74" width="31.5" bestFit="1" customWidth="1"/>
    <col min="75" max="75" width="12" bestFit="1" customWidth="1"/>
    <col min="76" max="76" width="6.6640625" bestFit="1" customWidth="1"/>
    <col min="77" max="77" width="9.1640625" bestFit="1" customWidth="1"/>
    <col min="78" max="78" width="9.83203125" bestFit="1" customWidth="1"/>
    <col min="79" max="79" width="13" bestFit="1" customWidth="1"/>
    <col min="80" max="80" width="12.33203125" bestFit="1" customWidth="1"/>
    <col min="81" max="81" width="15.83203125" bestFit="1" customWidth="1"/>
    <col min="82" max="82" width="11.6640625" bestFit="1" customWidth="1"/>
    <col min="83" max="83" width="6.5" bestFit="1" customWidth="1"/>
    <col min="84" max="84" width="13.6640625" bestFit="1" customWidth="1"/>
    <col min="85" max="85" width="7.1640625" bestFit="1" customWidth="1"/>
    <col min="86" max="86" width="19.6640625" bestFit="1" customWidth="1"/>
    <col min="87" max="87" width="17.33203125" bestFit="1" customWidth="1"/>
    <col min="88" max="88" width="8.33203125" bestFit="1" customWidth="1"/>
    <col min="89" max="89" width="6" bestFit="1" customWidth="1"/>
    <col min="90" max="90" width="7.6640625" bestFit="1" customWidth="1"/>
    <col min="91" max="91" width="4.33203125" bestFit="1" customWidth="1"/>
    <col min="92" max="92" width="33.33203125" bestFit="1" customWidth="1"/>
    <col min="93" max="96" width="12.1640625" bestFit="1" customWidth="1"/>
    <col min="97" max="97" width="13" bestFit="1" customWidth="1"/>
    <col min="98" max="98" width="12.33203125" bestFit="1" customWidth="1"/>
    <col min="99" max="99" width="15.83203125" bestFit="1" customWidth="1"/>
    <col min="100" max="101" width="12.1640625" bestFit="1" customWidth="1"/>
    <col min="102" max="102" width="13.6640625" bestFit="1" customWidth="1"/>
    <col min="103" max="103" width="9.1640625" bestFit="1" customWidth="1"/>
    <col min="104" max="104" width="19.6640625" bestFit="1" customWidth="1"/>
    <col min="105" max="105" width="17.33203125" bestFit="1" customWidth="1"/>
    <col min="106" max="106" width="10.1640625" bestFit="1" customWidth="1"/>
    <col min="107" max="108" width="12.1640625" bestFit="1" customWidth="1"/>
    <col min="109" max="109" width="10.1640625" bestFit="1" customWidth="1"/>
    <col min="110" max="110" width="33.6640625" bestFit="1" customWidth="1"/>
    <col min="111" max="111" width="33" bestFit="1" customWidth="1"/>
    <col min="112" max="112" width="34.83203125" bestFit="1" customWidth="1"/>
    <col min="113" max="113" width="34.5" bestFit="1" customWidth="1"/>
    <col min="114" max="114" width="35.6640625" bestFit="1" customWidth="1"/>
    <col min="115" max="115" width="37.5" bestFit="1" customWidth="1"/>
    <col min="116" max="116" width="31.5" bestFit="1" customWidth="1"/>
    <col min="117" max="117" width="29.5" bestFit="1" customWidth="1"/>
    <col min="118" max="118" width="28.83203125" bestFit="1" customWidth="1"/>
    <col min="119" max="119" width="30.6640625" bestFit="1" customWidth="1"/>
    <col min="120" max="120" width="30.33203125" bestFit="1" customWidth="1"/>
    <col min="121" max="121" width="31.5" bestFit="1" customWidth="1"/>
    <col min="122" max="122" width="29.5" bestFit="1" customWidth="1"/>
    <col min="123" max="123" width="28.83203125" bestFit="1" customWidth="1"/>
    <col min="124" max="124" width="30.6640625" bestFit="1" customWidth="1"/>
    <col min="125" max="125" width="30.33203125" bestFit="1" customWidth="1"/>
    <col min="126" max="126" width="31.5" bestFit="1" customWidth="1"/>
    <col min="127" max="127" width="29.5" bestFit="1" customWidth="1"/>
    <col min="128" max="128" width="28.83203125" bestFit="1" customWidth="1"/>
    <col min="129" max="129" width="30.6640625" bestFit="1" customWidth="1"/>
    <col min="130" max="130" width="30.33203125" bestFit="1" customWidth="1"/>
    <col min="131" max="131" width="31.5" bestFit="1" customWidth="1"/>
    <col min="132" max="132" width="29.5" bestFit="1" customWidth="1"/>
    <col min="133" max="133" width="28.83203125" bestFit="1" customWidth="1"/>
    <col min="134" max="134" width="30.6640625" bestFit="1" customWidth="1"/>
    <col min="135" max="135" width="30.33203125" bestFit="1" customWidth="1"/>
    <col min="136" max="136" width="31.5" bestFit="1" customWidth="1"/>
    <col min="137" max="137" width="29.5" bestFit="1" customWidth="1"/>
    <col min="138" max="138" width="28.83203125" bestFit="1" customWidth="1"/>
    <col min="139" max="139" width="30.6640625" bestFit="1" customWidth="1"/>
    <col min="140" max="140" width="30.33203125" bestFit="1" customWidth="1"/>
    <col min="141" max="141" width="31.5" bestFit="1" customWidth="1"/>
    <col min="142" max="142" width="29.5" bestFit="1" customWidth="1"/>
    <col min="143" max="143" width="28.83203125" bestFit="1" customWidth="1"/>
    <col min="144" max="144" width="30.6640625" bestFit="1" customWidth="1"/>
    <col min="145" max="145" width="30.33203125" bestFit="1" customWidth="1"/>
    <col min="146" max="146" width="31.5" bestFit="1" customWidth="1"/>
    <col min="147" max="147" width="29.5" bestFit="1" customWidth="1"/>
    <col min="148" max="148" width="28.83203125" bestFit="1" customWidth="1"/>
    <col min="149" max="149" width="30.6640625" bestFit="1" customWidth="1"/>
    <col min="150" max="150" width="30.33203125" bestFit="1" customWidth="1"/>
    <col min="151" max="151" width="31.5" bestFit="1" customWidth="1"/>
    <col min="152" max="152" width="29.5" bestFit="1" customWidth="1"/>
    <col min="153" max="153" width="28.83203125" bestFit="1" customWidth="1"/>
    <col min="154" max="154" width="30.6640625" bestFit="1" customWidth="1"/>
    <col min="155" max="155" width="30.33203125" bestFit="1" customWidth="1"/>
    <col min="156" max="156" width="31.5" bestFit="1" customWidth="1"/>
    <col min="157" max="157" width="29.5" bestFit="1" customWidth="1"/>
    <col min="158" max="158" width="28.83203125" bestFit="1" customWidth="1"/>
    <col min="159" max="159" width="30.6640625" bestFit="1" customWidth="1"/>
    <col min="160" max="160" width="30.33203125" bestFit="1" customWidth="1"/>
    <col min="161" max="161" width="31.5" bestFit="1" customWidth="1"/>
    <col min="162" max="162" width="29.5" bestFit="1" customWidth="1"/>
    <col min="163" max="163" width="28.83203125" bestFit="1" customWidth="1"/>
    <col min="164" max="164" width="30.6640625" bestFit="1" customWidth="1"/>
    <col min="165" max="165" width="30.33203125" bestFit="1" customWidth="1"/>
    <col min="166" max="166" width="31.5" bestFit="1" customWidth="1"/>
    <col min="167" max="167" width="29.5" bestFit="1" customWidth="1"/>
    <col min="168" max="168" width="28.83203125" bestFit="1" customWidth="1"/>
    <col min="169" max="169" width="30.6640625" bestFit="1" customWidth="1"/>
    <col min="170" max="170" width="30.33203125" bestFit="1" customWidth="1"/>
    <col min="171" max="171" width="31.5" bestFit="1" customWidth="1"/>
    <col min="172" max="172" width="29.5" bestFit="1" customWidth="1"/>
    <col min="173" max="173" width="28.83203125" bestFit="1" customWidth="1"/>
    <col min="174" max="174" width="30.6640625" bestFit="1" customWidth="1"/>
    <col min="175" max="175" width="30.33203125" bestFit="1" customWidth="1"/>
    <col min="176" max="176" width="31.5" bestFit="1" customWidth="1"/>
    <col min="177" max="177" width="29.5" bestFit="1" customWidth="1"/>
    <col min="178" max="178" width="28.83203125" bestFit="1" customWidth="1"/>
    <col min="179" max="179" width="30.6640625" bestFit="1" customWidth="1"/>
    <col min="180" max="180" width="30.33203125" bestFit="1" customWidth="1"/>
    <col min="181" max="181" width="31.5" bestFit="1" customWidth="1"/>
    <col min="182" max="182" width="29.5" bestFit="1" customWidth="1"/>
    <col min="183" max="183" width="28.83203125" bestFit="1" customWidth="1"/>
    <col min="184" max="184" width="30.6640625" bestFit="1" customWidth="1"/>
    <col min="185" max="185" width="30.33203125" bestFit="1" customWidth="1"/>
    <col min="186" max="186" width="31.5" bestFit="1" customWidth="1"/>
    <col min="187" max="187" width="29.5" bestFit="1" customWidth="1"/>
    <col min="188" max="188" width="28.83203125" bestFit="1" customWidth="1"/>
    <col min="189" max="189" width="30.6640625" bestFit="1" customWidth="1"/>
    <col min="190" max="190" width="30.33203125" bestFit="1" customWidth="1"/>
    <col min="191" max="191" width="31.5" bestFit="1" customWidth="1"/>
    <col min="192" max="192" width="29.5" bestFit="1" customWidth="1"/>
    <col min="193" max="193" width="28.83203125" bestFit="1" customWidth="1"/>
    <col min="194" max="194" width="30.6640625" bestFit="1" customWidth="1"/>
    <col min="195" max="195" width="30.33203125" bestFit="1" customWidth="1"/>
    <col min="196" max="196" width="31.5" bestFit="1" customWidth="1"/>
    <col min="197" max="197" width="29.5" bestFit="1" customWidth="1"/>
    <col min="198" max="198" width="28.83203125" bestFit="1" customWidth="1"/>
    <col min="199" max="199" width="30.6640625" bestFit="1" customWidth="1"/>
    <col min="200" max="200" width="30.33203125" bestFit="1" customWidth="1"/>
    <col min="201" max="201" width="31.5" bestFit="1" customWidth="1"/>
    <col min="202" max="202" width="29.5" bestFit="1" customWidth="1"/>
    <col min="203" max="203" width="28.83203125" bestFit="1" customWidth="1"/>
    <col min="204" max="204" width="30.6640625" bestFit="1" customWidth="1"/>
    <col min="205" max="205" width="30.33203125" bestFit="1" customWidth="1"/>
    <col min="206" max="206" width="31.5" bestFit="1" customWidth="1"/>
    <col min="207" max="207" width="29.5" bestFit="1" customWidth="1"/>
    <col min="208" max="208" width="28.83203125" bestFit="1" customWidth="1"/>
    <col min="209" max="209" width="30.6640625" bestFit="1" customWidth="1"/>
    <col min="210" max="210" width="30.33203125" bestFit="1" customWidth="1"/>
    <col min="211" max="211" width="31.5" bestFit="1" customWidth="1"/>
    <col min="212" max="212" width="29.5" bestFit="1" customWidth="1"/>
    <col min="213" max="213" width="28.83203125" bestFit="1" customWidth="1"/>
    <col min="214" max="214" width="30.6640625" bestFit="1" customWidth="1"/>
    <col min="215" max="215" width="30.33203125" bestFit="1" customWidth="1"/>
    <col min="216" max="216" width="31.5" bestFit="1" customWidth="1"/>
    <col min="217" max="217" width="29.5" bestFit="1" customWidth="1"/>
    <col min="218" max="218" width="28.83203125" bestFit="1" customWidth="1"/>
    <col min="219" max="219" width="30.6640625" bestFit="1" customWidth="1"/>
    <col min="220" max="220" width="30.33203125" bestFit="1" customWidth="1"/>
    <col min="221" max="221" width="31.5" bestFit="1" customWidth="1"/>
    <col min="222" max="222" width="29.5" bestFit="1" customWidth="1"/>
    <col min="223" max="223" width="28.83203125" bestFit="1" customWidth="1"/>
    <col min="224" max="224" width="30.6640625" bestFit="1" customWidth="1"/>
    <col min="225" max="225" width="30.33203125" bestFit="1" customWidth="1"/>
    <col min="226" max="226" width="31.5" bestFit="1" customWidth="1"/>
    <col min="227" max="227" width="29.5" bestFit="1" customWidth="1"/>
    <col min="228" max="228" width="28.83203125" bestFit="1" customWidth="1"/>
    <col min="229" max="229" width="30.6640625" bestFit="1" customWidth="1"/>
    <col min="230" max="230" width="30.33203125" bestFit="1" customWidth="1"/>
    <col min="231" max="231" width="31.5" bestFit="1" customWidth="1"/>
    <col min="232" max="232" width="29.5" bestFit="1" customWidth="1"/>
    <col min="233" max="233" width="28.83203125" bestFit="1" customWidth="1"/>
    <col min="234" max="234" width="30.6640625" bestFit="1" customWidth="1"/>
    <col min="235" max="235" width="30.33203125" bestFit="1" customWidth="1"/>
    <col min="236" max="236" width="31.5" bestFit="1" customWidth="1"/>
    <col min="237" max="237" width="29.5" bestFit="1" customWidth="1"/>
    <col min="238" max="238" width="28.83203125" bestFit="1" customWidth="1"/>
    <col min="239" max="239" width="30.6640625" bestFit="1" customWidth="1"/>
    <col min="240" max="240" width="30.33203125" bestFit="1" customWidth="1"/>
    <col min="241" max="241" width="31.5" bestFit="1" customWidth="1"/>
    <col min="242" max="242" width="29.5" bestFit="1" customWidth="1"/>
    <col min="243" max="243" width="28.83203125" bestFit="1" customWidth="1"/>
    <col min="244" max="244" width="30.6640625" bestFit="1" customWidth="1"/>
    <col min="245" max="245" width="30.33203125" bestFit="1" customWidth="1"/>
    <col min="246" max="246" width="31.5" bestFit="1" customWidth="1"/>
    <col min="247" max="247" width="29.5" bestFit="1" customWidth="1"/>
    <col min="248" max="248" width="28.83203125" bestFit="1" customWidth="1"/>
    <col min="249" max="249" width="30.6640625" bestFit="1" customWidth="1"/>
    <col min="250" max="250" width="30.33203125" bestFit="1" customWidth="1"/>
    <col min="251" max="251" width="31.5" bestFit="1" customWidth="1"/>
    <col min="252" max="252" width="29.5" bestFit="1" customWidth="1"/>
    <col min="253" max="253" width="28.83203125" bestFit="1" customWidth="1"/>
    <col min="254" max="254" width="30.6640625" bestFit="1" customWidth="1"/>
    <col min="255" max="255" width="30.33203125" bestFit="1" customWidth="1"/>
    <col min="256" max="256" width="31.5" bestFit="1" customWidth="1"/>
    <col min="257" max="257" width="29.5" bestFit="1" customWidth="1"/>
    <col min="258" max="258" width="28.83203125" bestFit="1" customWidth="1"/>
    <col min="259" max="259" width="30.6640625" bestFit="1" customWidth="1"/>
    <col min="260" max="260" width="30.33203125" bestFit="1" customWidth="1"/>
    <col min="261" max="261" width="31.5" bestFit="1" customWidth="1"/>
    <col min="262" max="262" width="29.5" bestFit="1" customWidth="1"/>
    <col min="263" max="263" width="28.83203125" bestFit="1" customWidth="1"/>
    <col min="264" max="264" width="30.6640625" bestFit="1" customWidth="1"/>
    <col min="265" max="265" width="30.33203125" bestFit="1" customWidth="1"/>
    <col min="266" max="266" width="31.5" bestFit="1" customWidth="1"/>
    <col min="267" max="267" width="29.5" bestFit="1" customWidth="1"/>
    <col min="268" max="268" width="28.83203125" bestFit="1" customWidth="1"/>
    <col min="269" max="269" width="30.6640625" bestFit="1" customWidth="1"/>
    <col min="270" max="270" width="30.33203125" bestFit="1" customWidth="1"/>
    <col min="271" max="271" width="31.5" bestFit="1" customWidth="1"/>
    <col min="272" max="272" width="29.5" bestFit="1" customWidth="1"/>
    <col min="273" max="273" width="28.83203125" bestFit="1" customWidth="1"/>
    <col min="274" max="274" width="30.6640625" bestFit="1" customWidth="1"/>
    <col min="275" max="275" width="30.33203125" bestFit="1" customWidth="1"/>
    <col min="276" max="276" width="31.5" bestFit="1" customWidth="1"/>
    <col min="277" max="277" width="29.5" bestFit="1" customWidth="1"/>
    <col min="278" max="278" width="28.83203125" bestFit="1" customWidth="1"/>
    <col min="279" max="279" width="30.6640625" bestFit="1" customWidth="1"/>
    <col min="280" max="280" width="30.33203125" bestFit="1" customWidth="1"/>
    <col min="281" max="281" width="31.5" bestFit="1" customWidth="1"/>
    <col min="282" max="282" width="29.5" bestFit="1" customWidth="1"/>
    <col min="283" max="283" width="28.83203125" bestFit="1" customWidth="1"/>
    <col min="284" max="284" width="30.6640625" bestFit="1" customWidth="1"/>
    <col min="285" max="285" width="30.33203125" bestFit="1" customWidth="1"/>
    <col min="286" max="286" width="31.5" bestFit="1" customWidth="1"/>
    <col min="287" max="287" width="29.5" bestFit="1" customWidth="1"/>
    <col min="288" max="288" width="28.83203125" bestFit="1" customWidth="1"/>
    <col min="289" max="289" width="30.6640625" bestFit="1" customWidth="1"/>
    <col min="290" max="290" width="30.33203125" bestFit="1" customWidth="1"/>
    <col min="291" max="291" width="31.5" bestFit="1" customWidth="1"/>
    <col min="292" max="292" width="29.5" bestFit="1" customWidth="1"/>
    <col min="293" max="293" width="28.83203125" bestFit="1" customWidth="1"/>
    <col min="294" max="294" width="30.6640625" bestFit="1" customWidth="1"/>
    <col min="295" max="295" width="30.33203125" bestFit="1" customWidth="1"/>
    <col min="296" max="296" width="31.5" bestFit="1" customWidth="1"/>
    <col min="297" max="297" width="29.5" bestFit="1" customWidth="1"/>
    <col min="298" max="298" width="28.83203125" bestFit="1" customWidth="1"/>
    <col min="299" max="299" width="30.6640625" bestFit="1" customWidth="1"/>
    <col min="300" max="300" width="30.33203125" bestFit="1" customWidth="1"/>
    <col min="301" max="301" width="31.5" bestFit="1" customWidth="1"/>
    <col min="302" max="302" width="29.5" bestFit="1" customWidth="1"/>
    <col min="303" max="303" width="28.83203125" bestFit="1" customWidth="1"/>
    <col min="304" max="304" width="30.6640625" bestFit="1" customWidth="1"/>
    <col min="305" max="305" width="30.33203125" bestFit="1" customWidth="1"/>
    <col min="306" max="306" width="31.5" bestFit="1" customWidth="1"/>
    <col min="307" max="307" width="29.5" bestFit="1" customWidth="1"/>
    <col min="308" max="308" width="28.83203125" bestFit="1" customWidth="1"/>
    <col min="309" max="309" width="30.6640625" bestFit="1" customWidth="1"/>
    <col min="310" max="310" width="30.33203125" bestFit="1" customWidth="1"/>
    <col min="311" max="311" width="31.5" bestFit="1" customWidth="1"/>
    <col min="312" max="312" width="29.5" bestFit="1" customWidth="1"/>
    <col min="313" max="313" width="28.83203125" bestFit="1" customWidth="1"/>
    <col min="314" max="314" width="30.6640625" bestFit="1" customWidth="1"/>
    <col min="315" max="315" width="30.33203125" bestFit="1" customWidth="1"/>
    <col min="316" max="316" width="31.5" bestFit="1" customWidth="1"/>
    <col min="317" max="317" width="29.5" bestFit="1" customWidth="1"/>
    <col min="318" max="318" width="28.83203125" bestFit="1" customWidth="1"/>
    <col min="319" max="319" width="30.6640625" bestFit="1" customWidth="1"/>
    <col min="320" max="320" width="30.33203125" bestFit="1" customWidth="1"/>
    <col min="321" max="321" width="31.5" bestFit="1" customWidth="1"/>
    <col min="322" max="322" width="29.5" bestFit="1" customWidth="1"/>
    <col min="323" max="323" width="28.83203125" bestFit="1" customWidth="1"/>
    <col min="324" max="324" width="30.6640625" bestFit="1" customWidth="1"/>
    <col min="325" max="325" width="30.33203125" bestFit="1" customWidth="1"/>
    <col min="326" max="326" width="31.5" bestFit="1" customWidth="1"/>
    <col min="327" max="327" width="29.5" bestFit="1" customWidth="1"/>
    <col min="328" max="328" width="28.83203125" bestFit="1" customWidth="1"/>
    <col min="329" max="329" width="30.6640625" bestFit="1" customWidth="1"/>
    <col min="330" max="330" width="30.33203125" bestFit="1" customWidth="1"/>
    <col min="331" max="331" width="31.5" bestFit="1" customWidth="1"/>
    <col min="332" max="332" width="29.5" bestFit="1" customWidth="1"/>
    <col min="333" max="333" width="28.83203125" bestFit="1" customWidth="1"/>
    <col min="334" max="334" width="30.6640625" bestFit="1" customWidth="1"/>
    <col min="335" max="335" width="30.33203125" bestFit="1" customWidth="1"/>
    <col min="336" max="336" width="31.5" bestFit="1" customWidth="1"/>
    <col min="337" max="337" width="29.5" bestFit="1" customWidth="1"/>
    <col min="338" max="338" width="28.83203125" bestFit="1" customWidth="1"/>
    <col min="339" max="339" width="30.6640625" bestFit="1" customWidth="1"/>
    <col min="340" max="340" width="30.33203125" bestFit="1" customWidth="1"/>
    <col min="341" max="341" width="31.5" bestFit="1" customWidth="1"/>
    <col min="342" max="342" width="29.5" bestFit="1" customWidth="1"/>
    <col min="343" max="343" width="28.83203125" bestFit="1" customWidth="1"/>
    <col min="344" max="344" width="30.6640625" bestFit="1" customWidth="1"/>
    <col min="345" max="345" width="30.33203125" bestFit="1" customWidth="1"/>
    <col min="346" max="346" width="31.5" bestFit="1" customWidth="1"/>
    <col min="347" max="347" width="29.5" bestFit="1" customWidth="1"/>
    <col min="348" max="348" width="28.83203125" bestFit="1" customWidth="1"/>
    <col min="349" max="349" width="30.6640625" bestFit="1" customWidth="1"/>
    <col min="350" max="350" width="30.33203125" bestFit="1" customWidth="1"/>
    <col min="351" max="351" width="31.5" bestFit="1" customWidth="1"/>
    <col min="352" max="352" width="29.5" bestFit="1" customWidth="1"/>
    <col min="353" max="353" width="28.83203125" bestFit="1" customWidth="1"/>
    <col min="354" max="354" width="30.6640625" bestFit="1" customWidth="1"/>
    <col min="355" max="355" width="30.33203125" bestFit="1" customWidth="1"/>
    <col min="356" max="356" width="31.5" bestFit="1" customWidth="1"/>
    <col min="357" max="357" width="29.5" bestFit="1" customWidth="1"/>
    <col min="358" max="358" width="28.83203125" bestFit="1" customWidth="1"/>
    <col min="359" max="359" width="30.6640625" bestFit="1" customWidth="1"/>
    <col min="360" max="360" width="30.33203125" bestFit="1" customWidth="1"/>
    <col min="361" max="361" width="31.5" bestFit="1" customWidth="1"/>
    <col min="362" max="362" width="29.5" bestFit="1" customWidth="1"/>
    <col min="363" max="363" width="28.83203125" bestFit="1" customWidth="1"/>
    <col min="364" max="364" width="30.6640625" bestFit="1" customWidth="1"/>
    <col min="365" max="365" width="30.33203125" bestFit="1" customWidth="1"/>
    <col min="366" max="366" width="31.5" bestFit="1" customWidth="1"/>
    <col min="367" max="367" width="29.5" bestFit="1" customWidth="1"/>
    <col min="368" max="368" width="28.83203125" bestFit="1" customWidth="1"/>
    <col min="369" max="369" width="30.6640625" bestFit="1" customWidth="1"/>
    <col min="370" max="370" width="30.33203125" bestFit="1" customWidth="1"/>
    <col min="371" max="371" width="31.5" bestFit="1" customWidth="1"/>
    <col min="372" max="372" width="29.5" bestFit="1" customWidth="1"/>
    <col min="373" max="373" width="28.83203125" bestFit="1" customWidth="1"/>
    <col min="374" max="374" width="30.6640625" bestFit="1" customWidth="1"/>
    <col min="375" max="375" width="30.33203125" bestFit="1" customWidth="1"/>
    <col min="376" max="376" width="31.5" bestFit="1" customWidth="1"/>
    <col min="377" max="377" width="29.5" bestFit="1" customWidth="1"/>
    <col min="378" max="378" width="28.83203125" bestFit="1" customWidth="1"/>
    <col min="379" max="379" width="30.6640625" bestFit="1" customWidth="1"/>
    <col min="380" max="380" width="30.33203125" bestFit="1" customWidth="1"/>
    <col min="381" max="381" width="31.5" bestFit="1" customWidth="1"/>
    <col min="382" max="382" width="29.5" bestFit="1" customWidth="1"/>
    <col min="383" max="383" width="28.83203125" bestFit="1" customWidth="1"/>
    <col min="384" max="384" width="30.6640625" bestFit="1" customWidth="1"/>
    <col min="385" max="385" width="30.33203125" bestFit="1" customWidth="1"/>
    <col min="386" max="386" width="31.5" bestFit="1" customWidth="1"/>
    <col min="387" max="387" width="29.5" bestFit="1" customWidth="1"/>
    <col min="388" max="388" width="28.83203125" bestFit="1" customWidth="1"/>
    <col min="389" max="389" width="30.6640625" bestFit="1" customWidth="1"/>
    <col min="390" max="390" width="30.33203125" bestFit="1" customWidth="1"/>
    <col min="391" max="391" width="31.5" bestFit="1" customWidth="1"/>
    <col min="392" max="392" width="29.5" bestFit="1" customWidth="1"/>
    <col min="393" max="393" width="28.83203125" bestFit="1" customWidth="1"/>
    <col min="394" max="394" width="30.6640625" bestFit="1" customWidth="1"/>
    <col min="395" max="395" width="30.33203125" bestFit="1" customWidth="1"/>
    <col min="396" max="396" width="31.5" bestFit="1" customWidth="1"/>
    <col min="397" max="397" width="29.5" bestFit="1" customWidth="1"/>
    <col min="398" max="398" width="28.83203125" bestFit="1" customWidth="1"/>
    <col min="399" max="399" width="30.6640625" bestFit="1" customWidth="1"/>
    <col min="400" max="400" width="30.33203125" bestFit="1" customWidth="1"/>
    <col min="401" max="401" width="31.5" bestFit="1" customWidth="1"/>
    <col min="402" max="402" width="29.5" bestFit="1" customWidth="1"/>
    <col min="403" max="403" width="28.83203125" bestFit="1" customWidth="1"/>
    <col min="404" max="404" width="30.6640625" bestFit="1" customWidth="1"/>
    <col min="405" max="405" width="30.33203125" bestFit="1" customWidth="1"/>
    <col min="406" max="406" width="31.5" bestFit="1" customWidth="1"/>
    <col min="407" max="407" width="29.5" bestFit="1" customWidth="1"/>
    <col min="408" max="408" width="28.83203125" bestFit="1" customWidth="1"/>
    <col min="409" max="409" width="30.6640625" bestFit="1" customWidth="1"/>
    <col min="410" max="410" width="30.33203125" bestFit="1" customWidth="1"/>
    <col min="411" max="411" width="31.5" bestFit="1" customWidth="1"/>
    <col min="412" max="412" width="29.5" bestFit="1" customWidth="1"/>
    <col min="413" max="413" width="28.83203125" bestFit="1" customWidth="1"/>
    <col min="414" max="414" width="30.6640625" bestFit="1" customWidth="1"/>
    <col min="415" max="415" width="30.33203125" bestFit="1" customWidth="1"/>
    <col min="416" max="416" width="31.5" bestFit="1" customWidth="1"/>
    <col min="417" max="417" width="29.5" bestFit="1" customWidth="1"/>
    <col min="418" max="418" width="28.83203125" bestFit="1" customWidth="1"/>
    <col min="419" max="419" width="30.6640625" bestFit="1" customWidth="1"/>
    <col min="420" max="420" width="30.33203125" bestFit="1" customWidth="1"/>
    <col min="421" max="421" width="31.5" bestFit="1" customWidth="1"/>
    <col min="422" max="422" width="29.5" bestFit="1" customWidth="1"/>
    <col min="423" max="423" width="28.83203125" bestFit="1" customWidth="1"/>
    <col min="424" max="424" width="30.6640625" bestFit="1" customWidth="1"/>
    <col min="425" max="425" width="30.33203125" bestFit="1" customWidth="1"/>
    <col min="426" max="426" width="31.5" bestFit="1" customWidth="1"/>
    <col min="427" max="427" width="29.5" bestFit="1" customWidth="1"/>
    <col min="428" max="428" width="28.83203125" bestFit="1" customWidth="1"/>
    <col min="429" max="429" width="30.6640625" bestFit="1" customWidth="1"/>
    <col min="430" max="430" width="30.33203125" bestFit="1" customWidth="1"/>
    <col min="431" max="431" width="31.5" bestFit="1" customWidth="1"/>
    <col min="432" max="432" width="29.5" bestFit="1" customWidth="1"/>
    <col min="433" max="433" width="28.83203125" bestFit="1" customWidth="1"/>
    <col min="434" max="434" width="30.6640625" bestFit="1" customWidth="1"/>
    <col min="435" max="435" width="30.33203125" bestFit="1" customWidth="1"/>
    <col min="436" max="436" width="31.5" bestFit="1" customWidth="1"/>
    <col min="437" max="437" width="29.5" bestFit="1" customWidth="1"/>
    <col min="438" max="438" width="28.83203125" bestFit="1" customWidth="1"/>
    <col min="439" max="439" width="30.6640625" bestFit="1" customWidth="1"/>
    <col min="440" max="440" width="30.33203125" bestFit="1" customWidth="1"/>
    <col min="441" max="441" width="31.5" bestFit="1" customWidth="1"/>
    <col min="442" max="442" width="29.5" bestFit="1" customWidth="1"/>
    <col min="443" max="443" width="28.83203125" bestFit="1" customWidth="1"/>
    <col min="444" max="444" width="30.6640625" bestFit="1" customWidth="1"/>
    <col min="445" max="445" width="30.33203125" bestFit="1" customWidth="1"/>
    <col min="446" max="446" width="31.5" bestFit="1" customWidth="1"/>
    <col min="447" max="447" width="29.5" bestFit="1" customWidth="1"/>
    <col min="448" max="448" width="28.83203125" bestFit="1" customWidth="1"/>
    <col min="449" max="449" width="30.6640625" bestFit="1" customWidth="1"/>
    <col min="450" max="450" width="30.33203125" bestFit="1" customWidth="1"/>
    <col min="451" max="451" width="31.5" bestFit="1" customWidth="1"/>
    <col min="452" max="452" width="29.5" bestFit="1" customWidth="1"/>
    <col min="453" max="453" width="28.83203125" bestFit="1" customWidth="1"/>
    <col min="454" max="454" width="30.6640625" bestFit="1" customWidth="1"/>
    <col min="455" max="455" width="30.33203125" bestFit="1" customWidth="1"/>
    <col min="456" max="456" width="31.5" bestFit="1" customWidth="1"/>
    <col min="457" max="457" width="29.5" bestFit="1" customWidth="1"/>
    <col min="458" max="458" width="28.83203125" bestFit="1" customWidth="1"/>
    <col min="459" max="459" width="30.6640625" bestFit="1" customWidth="1"/>
    <col min="460" max="460" width="30.33203125" bestFit="1" customWidth="1"/>
    <col min="461" max="461" width="31.5" bestFit="1" customWidth="1"/>
    <col min="462" max="462" width="29.5" bestFit="1" customWidth="1"/>
    <col min="463" max="463" width="28.83203125" bestFit="1" customWidth="1"/>
    <col min="464" max="464" width="30.6640625" bestFit="1" customWidth="1"/>
    <col min="465" max="465" width="30.33203125" bestFit="1" customWidth="1"/>
    <col min="466" max="466" width="31.5" bestFit="1" customWidth="1"/>
    <col min="467" max="467" width="29.5" bestFit="1" customWidth="1"/>
    <col min="468" max="468" width="28.83203125" bestFit="1" customWidth="1"/>
    <col min="469" max="469" width="30.6640625" bestFit="1" customWidth="1"/>
    <col min="470" max="470" width="30.33203125" bestFit="1" customWidth="1"/>
    <col min="471" max="471" width="31.5" bestFit="1" customWidth="1"/>
    <col min="472" max="472" width="29.5" bestFit="1" customWidth="1"/>
    <col min="473" max="473" width="28.83203125" bestFit="1" customWidth="1"/>
    <col min="474" max="474" width="30.6640625" bestFit="1" customWidth="1"/>
    <col min="475" max="475" width="30.33203125" bestFit="1" customWidth="1"/>
    <col min="476" max="476" width="31.5" bestFit="1" customWidth="1"/>
    <col min="477" max="477" width="29.5" bestFit="1" customWidth="1"/>
    <col min="478" max="478" width="28.83203125" bestFit="1" customWidth="1"/>
    <col min="479" max="479" width="30.6640625" bestFit="1" customWidth="1"/>
    <col min="480" max="480" width="30.33203125" bestFit="1" customWidth="1"/>
    <col min="481" max="481" width="31.5" bestFit="1" customWidth="1"/>
    <col min="482" max="482" width="29.5" bestFit="1" customWidth="1"/>
    <col min="483" max="483" width="28.83203125" bestFit="1" customWidth="1"/>
    <col min="484" max="484" width="30.6640625" bestFit="1" customWidth="1"/>
    <col min="485" max="485" width="30.33203125" bestFit="1" customWidth="1"/>
    <col min="486" max="486" width="31.5" bestFit="1" customWidth="1"/>
    <col min="487" max="487" width="29.5" bestFit="1" customWidth="1"/>
    <col min="488" max="488" width="28.83203125" bestFit="1" customWidth="1"/>
    <col min="489" max="489" width="30.6640625" bestFit="1" customWidth="1"/>
    <col min="490" max="490" width="30.33203125" bestFit="1" customWidth="1"/>
    <col min="491" max="491" width="31.5" bestFit="1" customWidth="1"/>
    <col min="492" max="492" width="29.5" bestFit="1" customWidth="1"/>
    <col min="493" max="493" width="28.83203125" bestFit="1" customWidth="1"/>
    <col min="494" max="494" width="30.6640625" bestFit="1" customWidth="1"/>
    <col min="495" max="495" width="30.33203125" bestFit="1" customWidth="1"/>
    <col min="496" max="496" width="31.5" bestFit="1" customWidth="1"/>
    <col min="497" max="497" width="29.5" bestFit="1" customWidth="1"/>
    <col min="498" max="498" width="28.83203125" bestFit="1" customWidth="1"/>
    <col min="499" max="499" width="30.6640625" bestFit="1" customWidth="1"/>
    <col min="500" max="500" width="30.33203125" bestFit="1" customWidth="1"/>
    <col min="501" max="501" width="31.5" bestFit="1" customWidth="1"/>
    <col min="502" max="502" width="29.5" bestFit="1" customWidth="1"/>
    <col min="503" max="503" width="28.83203125" bestFit="1" customWidth="1"/>
    <col min="504" max="504" width="30.6640625" bestFit="1" customWidth="1"/>
    <col min="505" max="505" width="30.33203125" bestFit="1" customWidth="1"/>
    <col min="506" max="506" width="31.5" bestFit="1" customWidth="1"/>
    <col min="507" max="507" width="29.5" bestFit="1" customWidth="1"/>
    <col min="508" max="508" width="28.83203125" bestFit="1" customWidth="1"/>
    <col min="509" max="509" width="30.6640625" bestFit="1" customWidth="1"/>
    <col min="510" max="510" width="30.33203125" bestFit="1" customWidth="1"/>
    <col min="511" max="511" width="31.5" bestFit="1" customWidth="1"/>
    <col min="512" max="512" width="29.5" bestFit="1" customWidth="1"/>
    <col min="513" max="513" width="28.83203125" bestFit="1" customWidth="1"/>
    <col min="514" max="514" width="30.6640625" bestFit="1" customWidth="1"/>
    <col min="515" max="515" width="30.33203125" bestFit="1" customWidth="1"/>
    <col min="516" max="516" width="31.5" bestFit="1" customWidth="1"/>
    <col min="517" max="517" width="29.5" bestFit="1" customWidth="1"/>
    <col min="518" max="518" width="28.83203125" bestFit="1" customWidth="1"/>
    <col min="519" max="519" width="30.6640625" bestFit="1" customWidth="1"/>
    <col min="520" max="520" width="30.33203125" bestFit="1" customWidth="1"/>
    <col min="521" max="521" width="31.5" bestFit="1" customWidth="1"/>
    <col min="522" max="522" width="29.5" bestFit="1" customWidth="1"/>
    <col min="523" max="523" width="28.83203125" bestFit="1" customWidth="1"/>
    <col min="524" max="524" width="30.6640625" bestFit="1" customWidth="1"/>
    <col min="525" max="525" width="30.33203125" bestFit="1" customWidth="1"/>
    <col min="526" max="526" width="31.5" bestFit="1" customWidth="1"/>
    <col min="527" max="527" width="29.5" bestFit="1" customWidth="1"/>
    <col min="528" max="528" width="28.83203125" bestFit="1" customWidth="1"/>
    <col min="529" max="529" width="30.6640625" bestFit="1" customWidth="1"/>
    <col min="530" max="530" width="30.33203125" bestFit="1" customWidth="1"/>
    <col min="531" max="531" width="31.5" bestFit="1" customWidth="1"/>
    <col min="532" max="532" width="29.5" bestFit="1" customWidth="1"/>
    <col min="533" max="533" width="28.83203125" bestFit="1" customWidth="1"/>
    <col min="534" max="534" width="30.6640625" bestFit="1" customWidth="1"/>
    <col min="535" max="535" width="30.33203125" bestFit="1" customWidth="1"/>
    <col min="536" max="536" width="31.5" bestFit="1" customWidth="1"/>
    <col min="537" max="537" width="29.5" bestFit="1" customWidth="1"/>
    <col min="538" max="538" width="28.83203125" bestFit="1" customWidth="1"/>
    <col min="539" max="539" width="30.6640625" bestFit="1" customWidth="1"/>
    <col min="540" max="540" width="30.33203125" bestFit="1" customWidth="1"/>
    <col min="541" max="541" width="31.5" bestFit="1" customWidth="1"/>
    <col min="542" max="542" width="29.5" bestFit="1" customWidth="1"/>
    <col min="543" max="543" width="28.83203125" bestFit="1" customWidth="1"/>
    <col min="544" max="544" width="30.6640625" bestFit="1" customWidth="1"/>
    <col min="545" max="545" width="30.33203125" bestFit="1" customWidth="1"/>
    <col min="546" max="546" width="31.5" bestFit="1" customWidth="1"/>
    <col min="547" max="547" width="29.5" bestFit="1" customWidth="1"/>
    <col min="548" max="548" width="28.83203125" bestFit="1" customWidth="1"/>
    <col min="549" max="549" width="30.6640625" bestFit="1" customWidth="1"/>
    <col min="550" max="550" width="30.33203125" bestFit="1" customWidth="1"/>
    <col min="551" max="551" width="31.5" bestFit="1" customWidth="1"/>
    <col min="552" max="552" width="29.5" bestFit="1" customWidth="1"/>
    <col min="553" max="553" width="28.83203125" bestFit="1" customWidth="1"/>
    <col min="554" max="554" width="30.6640625" bestFit="1" customWidth="1"/>
    <col min="555" max="555" width="30.33203125" bestFit="1" customWidth="1"/>
    <col min="556" max="556" width="31.5" bestFit="1" customWidth="1"/>
    <col min="557" max="557" width="29.5" bestFit="1" customWidth="1"/>
    <col min="558" max="558" width="28.83203125" bestFit="1" customWidth="1"/>
    <col min="559" max="559" width="30.6640625" bestFit="1" customWidth="1"/>
    <col min="560" max="560" width="30.33203125" bestFit="1" customWidth="1"/>
    <col min="561" max="561" width="31.5" bestFit="1" customWidth="1"/>
    <col min="562" max="562" width="29.5" bestFit="1" customWidth="1"/>
    <col min="563" max="563" width="28.83203125" bestFit="1" customWidth="1"/>
    <col min="564" max="564" width="30.6640625" bestFit="1" customWidth="1"/>
    <col min="565" max="565" width="30.33203125" bestFit="1" customWidth="1"/>
    <col min="566" max="566" width="31.5" bestFit="1" customWidth="1"/>
    <col min="567" max="567" width="29.5" bestFit="1" customWidth="1"/>
    <col min="568" max="568" width="28.83203125" bestFit="1" customWidth="1"/>
    <col min="569" max="569" width="30.6640625" bestFit="1" customWidth="1"/>
    <col min="570" max="570" width="30.33203125" bestFit="1" customWidth="1"/>
    <col min="571" max="571" width="31.5" bestFit="1" customWidth="1"/>
    <col min="572" max="572" width="29.5" bestFit="1" customWidth="1"/>
    <col min="573" max="573" width="28.83203125" bestFit="1" customWidth="1"/>
    <col min="574" max="574" width="30.6640625" bestFit="1" customWidth="1"/>
    <col min="575" max="575" width="30.33203125" bestFit="1" customWidth="1"/>
    <col min="576" max="576" width="31.5" bestFit="1" customWidth="1"/>
    <col min="577" max="577" width="29.5" bestFit="1" customWidth="1"/>
    <col min="578" max="578" width="28.83203125" bestFit="1" customWidth="1"/>
    <col min="579" max="579" width="30.6640625" bestFit="1" customWidth="1"/>
    <col min="580" max="580" width="30.33203125" bestFit="1" customWidth="1"/>
    <col min="581" max="581" width="31.5" bestFit="1" customWidth="1"/>
    <col min="582" max="582" width="29.5" bestFit="1" customWidth="1"/>
    <col min="583" max="583" width="28.83203125" bestFit="1" customWidth="1"/>
    <col min="584" max="584" width="30.6640625" bestFit="1" customWidth="1"/>
    <col min="585" max="585" width="30.33203125" bestFit="1" customWidth="1"/>
    <col min="586" max="586" width="31.5" bestFit="1" customWidth="1"/>
    <col min="587" max="587" width="29.5" bestFit="1" customWidth="1"/>
    <col min="588" max="588" width="28.83203125" bestFit="1" customWidth="1"/>
    <col min="589" max="589" width="30.6640625" bestFit="1" customWidth="1"/>
    <col min="590" max="590" width="30.33203125" bestFit="1" customWidth="1"/>
    <col min="591" max="591" width="31.5" bestFit="1" customWidth="1"/>
    <col min="592" max="592" width="29.5" bestFit="1" customWidth="1"/>
    <col min="593" max="593" width="28.83203125" bestFit="1" customWidth="1"/>
    <col min="594" max="594" width="30.6640625" bestFit="1" customWidth="1"/>
    <col min="595" max="595" width="30.33203125" bestFit="1" customWidth="1"/>
    <col min="596" max="596" width="31.5" bestFit="1" customWidth="1"/>
    <col min="597" max="597" width="29.5" bestFit="1" customWidth="1"/>
    <col min="598" max="598" width="28.83203125" bestFit="1" customWidth="1"/>
    <col min="599" max="599" width="30.6640625" bestFit="1" customWidth="1"/>
    <col min="600" max="600" width="30.33203125" bestFit="1" customWidth="1"/>
    <col min="601" max="601" width="31.5" bestFit="1" customWidth="1"/>
    <col min="602" max="602" width="29.5" bestFit="1" customWidth="1"/>
    <col min="603" max="603" width="28.83203125" bestFit="1" customWidth="1"/>
    <col min="604" max="604" width="30.6640625" bestFit="1" customWidth="1"/>
    <col min="605" max="605" width="30.33203125" bestFit="1" customWidth="1"/>
    <col min="606" max="606" width="31.5" bestFit="1" customWidth="1"/>
    <col min="607" max="607" width="29.5" bestFit="1" customWidth="1"/>
    <col min="608" max="608" width="28.83203125" bestFit="1" customWidth="1"/>
    <col min="609" max="609" width="30.6640625" bestFit="1" customWidth="1"/>
    <col min="610" max="610" width="30.33203125" bestFit="1" customWidth="1"/>
    <col min="611" max="611" width="31.5" bestFit="1" customWidth="1"/>
    <col min="612" max="612" width="29.5" bestFit="1" customWidth="1"/>
    <col min="613" max="613" width="28.83203125" bestFit="1" customWidth="1"/>
    <col min="614" max="614" width="30.6640625" bestFit="1" customWidth="1"/>
    <col min="615" max="615" width="30.33203125" bestFit="1" customWidth="1"/>
    <col min="616" max="616" width="31.5" bestFit="1" customWidth="1"/>
    <col min="617" max="617" width="29.5" bestFit="1" customWidth="1"/>
    <col min="618" max="618" width="28.83203125" bestFit="1" customWidth="1"/>
    <col min="619" max="619" width="30.6640625" bestFit="1" customWidth="1"/>
    <col min="620" max="620" width="30.33203125" bestFit="1" customWidth="1"/>
    <col min="621" max="621" width="31.5" bestFit="1" customWidth="1"/>
    <col min="622" max="622" width="29.5" bestFit="1" customWidth="1"/>
    <col min="623" max="623" width="28.83203125" bestFit="1" customWidth="1"/>
    <col min="624" max="624" width="30.6640625" bestFit="1" customWidth="1"/>
    <col min="625" max="625" width="30.33203125" bestFit="1" customWidth="1"/>
    <col min="626" max="626" width="31.5" bestFit="1" customWidth="1"/>
    <col min="627" max="627" width="29.5" bestFit="1" customWidth="1"/>
    <col min="628" max="628" width="28.83203125" bestFit="1" customWidth="1"/>
    <col min="629" max="629" width="30.6640625" bestFit="1" customWidth="1"/>
    <col min="630" max="630" width="30.33203125" bestFit="1" customWidth="1"/>
    <col min="631" max="631" width="31.5" bestFit="1" customWidth="1"/>
    <col min="632" max="632" width="29.5" bestFit="1" customWidth="1"/>
    <col min="633" max="633" width="28.83203125" bestFit="1" customWidth="1"/>
    <col min="634" max="634" width="30.6640625" bestFit="1" customWidth="1"/>
    <col min="635" max="635" width="30.33203125" bestFit="1" customWidth="1"/>
    <col min="636" max="636" width="31.5" bestFit="1" customWidth="1"/>
    <col min="637" max="637" width="29.5" bestFit="1" customWidth="1"/>
    <col min="638" max="638" width="28.83203125" bestFit="1" customWidth="1"/>
    <col min="639" max="639" width="30.6640625" bestFit="1" customWidth="1"/>
    <col min="640" max="640" width="30.33203125" bestFit="1" customWidth="1"/>
    <col min="641" max="641" width="31.5" bestFit="1" customWidth="1"/>
    <col min="642" max="642" width="29.5" bestFit="1" customWidth="1"/>
    <col min="643" max="643" width="28.83203125" bestFit="1" customWidth="1"/>
    <col min="644" max="644" width="30.6640625" bestFit="1" customWidth="1"/>
    <col min="645" max="645" width="30.33203125" bestFit="1" customWidth="1"/>
    <col min="646" max="646" width="31.5" bestFit="1" customWidth="1"/>
    <col min="647" max="647" width="29.5" bestFit="1" customWidth="1"/>
    <col min="648" max="648" width="28.83203125" bestFit="1" customWidth="1"/>
    <col min="649" max="649" width="30.6640625" bestFit="1" customWidth="1"/>
    <col min="650" max="650" width="30.33203125" bestFit="1" customWidth="1"/>
    <col min="651" max="651" width="31.5" bestFit="1" customWidth="1"/>
    <col min="652" max="652" width="29.5" bestFit="1" customWidth="1"/>
    <col min="653" max="653" width="28.83203125" bestFit="1" customWidth="1"/>
    <col min="654" max="654" width="30.6640625" bestFit="1" customWidth="1"/>
    <col min="655" max="655" width="30.33203125" bestFit="1" customWidth="1"/>
    <col min="656" max="656" width="31.5" bestFit="1" customWidth="1"/>
    <col min="657" max="657" width="29.5" bestFit="1" customWidth="1"/>
    <col min="658" max="658" width="28.83203125" bestFit="1" customWidth="1"/>
    <col min="659" max="659" width="30.6640625" bestFit="1" customWidth="1"/>
    <col min="660" max="660" width="30.33203125" bestFit="1" customWidth="1"/>
    <col min="661" max="661" width="31.5" bestFit="1" customWidth="1"/>
    <col min="662" max="662" width="29.5" bestFit="1" customWidth="1"/>
    <col min="663" max="663" width="28.83203125" bestFit="1" customWidth="1"/>
    <col min="664" max="664" width="30.6640625" bestFit="1" customWidth="1"/>
    <col min="665" max="665" width="30.33203125" bestFit="1" customWidth="1"/>
    <col min="666" max="666" width="31.5" bestFit="1" customWidth="1"/>
    <col min="667" max="667" width="29.5" bestFit="1" customWidth="1"/>
    <col min="668" max="668" width="28.83203125" bestFit="1" customWidth="1"/>
    <col min="669" max="669" width="30.6640625" bestFit="1" customWidth="1"/>
    <col min="670" max="670" width="30.33203125" bestFit="1" customWidth="1"/>
    <col min="671" max="671" width="31.5" bestFit="1" customWidth="1"/>
    <col min="672" max="672" width="29.5" bestFit="1" customWidth="1"/>
    <col min="673" max="673" width="28.83203125" bestFit="1" customWidth="1"/>
    <col min="674" max="674" width="30.6640625" bestFit="1" customWidth="1"/>
    <col min="675" max="675" width="30.33203125" bestFit="1" customWidth="1"/>
    <col min="676" max="676" width="31.5" bestFit="1" customWidth="1"/>
    <col min="677" max="677" width="29.5" bestFit="1" customWidth="1"/>
    <col min="678" max="678" width="28.83203125" bestFit="1" customWidth="1"/>
    <col min="679" max="679" width="30.6640625" bestFit="1" customWidth="1"/>
    <col min="680" max="680" width="30.33203125" bestFit="1" customWidth="1"/>
    <col min="681" max="681" width="31.5" bestFit="1" customWidth="1"/>
    <col min="682" max="682" width="29.5" bestFit="1" customWidth="1"/>
    <col min="683" max="683" width="28.83203125" bestFit="1" customWidth="1"/>
    <col min="684" max="684" width="30.6640625" bestFit="1" customWidth="1"/>
    <col min="685" max="685" width="30.33203125" bestFit="1" customWidth="1"/>
    <col min="686" max="686" width="31.5" bestFit="1" customWidth="1"/>
    <col min="687" max="687" width="29.5" bestFit="1" customWidth="1"/>
    <col min="688" max="688" width="28.83203125" bestFit="1" customWidth="1"/>
    <col min="689" max="689" width="30.6640625" bestFit="1" customWidth="1"/>
    <col min="690" max="690" width="30.33203125" bestFit="1" customWidth="1"/>
    <col min="691" max="691" width="31.5" bestFit="1" customWidth="1"/>
    <col min="692" max="692" width="29.5" bestFit="1" customWidth="1"/>
    <col min="693" max="693" width="28.83203125" bestFit="1" customWidth="1"/>
    <col min="694" max="694" width="30.6640625" bestFit="1" customWidth="1"/>
    <col min="695" max="695" width="30.33203125" bestFit="1" customWidth="1"/>
    <col min="696" max="696" width="31.5" bestFit="1" customWidth="1"/>
    <col min="697" max="697" width="29.5" bestFit="1" customWidth="1"/>
    <col min="698" max="698" width="28.83203125" bestFit="1" customWidth="1"/>
    <col min="699" max="699" width="30.6640625" bestFit="1" customWidth="1"/>
    <col min="700" max="700" width="30.33203125" bestFit="1" customWidth="1"/>
    <col min="701" max="701" width="31.5" bestFit="1" customWidth="1"/>
    <col min="702" max="702" width="29.5" bestFit="1" customWidth="1"/>
    <col min="703" max="703" width="28.83203125" bestFit="1" customWidth="1"/>
    <col min="704" max="704" width="30.6640625" bestFit="1" customWidth="1"/>
    <col min="705" max="705" width="30.33203125" bestFit="1" customWidth="1"/>
    <col min="706" max="706" width="31.5" bestFit="1" customWidth="1"/>
    <col min="707" max="707" width="29.5" bestFit="1" customWidth="1"/>
    <col min="708" max="708" width="28.83203125" bestFit="1" customWidth="1"/>
    <col min="709" max="709" width="30.6640625" bestFit="1" customWidth="1"/>
    <col min="710" max="710" width="30.33203125" bestFit="1" customWidth="1"/>
    <col min="711" max="711" width="31.5" bestFit="1" customWidth="1"/>
    <col min="712" max="712" width="29.5" bestFit="1" customWidth="1"/>
    <col min="713" max="713" width="28.83203125" bestFit="1" customWidth="1"/>
    <col min="714" max="714" width="30.6640625" bestFit="1" customWidth="1"/>
    <col min="715" max="715" width="30.33203125" bestFit="1" customWidth="1"/>
    <col min="716" max="716" width="31.5" bestFit="1" customWidth="1"/>
    <col min="717" max="717" width="29.5" bestFit="1" customWidth="1"/>
    <col min="718" max="718" width="28.83203125" bestFit="1" customWidth="1"/>
    <col min="719" max="719" width="30.6640625" bestFit="1" customWidth="1"/>
    <col min="720" max="720" width="30.33203125" bestFit="1" customWidth="1"/>
    <col min="721" max="721" width="31.5" bestFit="1" customWidth="1"/>
    <col min="722" max="722" width="29.5" bestFit="1" customWidth="1"/>
    <col min="723" max="723" width="28.83203125" bestFit="1" customWidth="1"/>
    <col min="724" max="724" width="30.6640625" bestFit="1" customWidth="1"/>
    <col min="725" max="725" width="30.33203125" bestFit="1" customWidth="1"/>
    <col min="726" max="726" width="31.5" bestFit="1" customWidth="1"/>
    <col min="727" max="727" width="29.5" bestFit="1" customWidth="1"/>
    <col min="728" max="728" width="28.83203125" bestFit="1" customWidth="1"/>
    <col min="729" max="729" width="30.6640625" bestFit="1" customWidth="1"/>
    <col min="730" max="730" width="30.33203125" bestFit="1" customWidth="1"/>
    <col min="731" max="731" width="31.5" bestFit="1" customWidth="1"/>
    <col min="732" max="732" width="29.5" bestFit="1" customWidth="1"/>
    <col min="733" max="733" width="28.83203125" bestFit="1" customWidth="1"/>
    <col min="734" max="734" width="30.6640625" bestFit="1" customWidth="1"/>
    <col min="735" max="735" width="30.33203125" bestFit="1" customWidth="1"/>
    <col min="736" max="736" width="31.5" bestFit="1" customWidth="1"/>
    <col min="737" max="737" width="29.5" bestFit="1" customWidth="1"/>
    <col min="738" max="738" width="28.83203125" bestFit="1" customWidth="1"/>
    <col min="739" max="739" width="30.6640625" bestFit="1" customWidth="1"/>
    <col min="740" max="740" width="30.33203125" bestFit="1" customWidth="1"/>
    <col min="741" max="741" width="31.5" bestFit="1" customWidth="1"/>
    <col min="742" max="742" width="29.5" bestFit="1" customWidth="1"/>
    <col min="743" max="743" width="28.83203125" bestFit="1" customWidth="1"/>
    <col min="744" max="744" width="30.6640625" bestFit="1" customWidth="1"/>
    <col min="745" max="745" width="30.33203125" bestFit="1" customWidth="1"/>
    <col min="746" max="746" width="31.5" bestFit="1" customWidth="1"/>
    <col min="747" max="747" width="29.5" bestFit="1" customWidth="1"/>
    <col min="748" max="748" width="28.83203125" bestFit="1" customWidth="1"/>
    <col min="749" max="749" width="30.6640625" bestFit="1" customWidth="1"/>
    <col min="750" max="750" width="30.33203125" bestFit="1" customWidth="1"/>
    <col min="751" max="751" width="31.5" bestFit="1" customWidth="1"/>
    <col min="752" max="752" width="29.5" bestFit="1" customWidth="1"/>
    <col min="753" max="753" width="28.83203125" bestFit="1" customWidth="1"/>
    <col min="754" max="754" width="30.6640625" bestFit="1" customWidth="1"/>
    <col min="755" max="755" width="30.33203125" bestFit="1" customWidth="1"/>
    <col min="756" max="756" width="31.5" bestFit="1" customWidth="1"/>
    <col min="757" max="757" width="29.5" bestFit="1" customWidth="1"/>
    <col min="758" max="758" width="28.83203125" bestFit="1" customWidth="1"/>
    <col min="759" max="759" width="30.6640625" bestFit="1" customWidth="1"/>
    <col min="760" max="760" width="30.33203125" bestFit="1" customWidth="1"/>
    <col min="761" max="761" width="31.5" bestFit="1" customWidth="1"/>
    <col min="762" max="762" width="29.5" bestFit="1" customWidth="1"/>
    <col min="763" max="763" width="28.83203125" bestFit="1" customWidth="1"/>
    <col min="764" max="764" width="30.6640625" bestFit="1" customWidth="1"/>
    <col min="765" max="765" width="30.33203125" bestFit="1" customWidth="1"/>
    <col min="766" max="766" width="31.5" bestFit="1" customWidth="1"/>
    <col min="767" max="767" width="29.5" bestFit="1" customWidth="1"/>
    <col min="768" max="768" width="28.83203125" bestFit="1" customWidth="1"/>
    <col min="769" max="769" width="30.6640625" bestFit="1" customWidth="1"/>
    <col min="770" max="770" width="30.33203125" bestFit="1" customWidth="1"/>
    <col min="771" max="771" width="31.5" bestFit="1" customWidth="1"/>
    <col min="772" max="772" width="29.5" bestFit="1" customWidth="1"/>
    <col min="773" max="773" width="28.83203125" bestFit="1" customWidth="1"/>
    <col min="774" max="774" width="30.6640625" bestFit="1" customWidth="1"/>
    <col min="775" max="775" width="30.33203125" bestFit="1" customWidth="1"/>
    <col min="776" max="776" width="31.5" bestFit="1" customWidth="1"/>
    <col min="777" max="777" width="29.5" bestFit="1" customWidth="1"/>
    <col min="778" max="778" width="28.83203125" bestFit="1" customWidth="1"/>
    <col min="779" max="779" width="30.6640625" bestFit="1" customWidth="1"/>
    <col min="780" max="780" width="30.33203125" bestFit="1" customWidth="1"/>
    <col min="781" max="781" width="31.5" bestFit="1" customWidth="1"/>
    <col min="782" max="782" width="29.5" bestFit="1" customWidth="1"/>
    <col min="783" max="783" width="28.83203125" bestFit="1" customWidth="1"/>
    <col min="784" max="784" width="30.6640625" bestFit="1" customWidth="1"/>
    <col min="785" max="785" width="30.33203125" bestFit="1" customWidth="1"/>
    <col min="786" max="786" width="31.5" bestFit="1" customWidth="1"/>
    <col min="787" max="787" width="29.5" bestFit="1" customWidth="1"/>
    <col min="788" max="788" width="28.83203125" bestFit="1" customWidth="1"/>
    <col min="789" max="789" width="30.6640625" bestFit="1" customWidth="1"/>
    <col min="790" max="790" width="30.33203125" bestFit="1" customWidth="1"/>
    <col min="791" max="791" width="31.5" bestFit="1" customWidth="1"/>
    <col min="792" max="792" width="29.5" bestFit="1" customWidth="1"/>
    <col min="793" max="793" width="28.83203125" bestFit="1" customWidth="1"/>
    <col min="794" max="794" width="30.6640625" bestFit="1" customWidth="1"/>
    <col min="795" max="795" width="30.33203125" bestFit="1" customWidth="1"/>
    <col min="796" max="796" width="31.5" bestFit="1" customWidth="1"/>
    <col min="797" max="797" width="29.5" bestFit="1" customWidth="1"/>
    <col min="798" max="798" width="28.83203125" bestFit="1" customWidth="1"/>
    <col min="799" max="799" width="30.6640625" bestFit="1" customWidth="1"/>
    <col min="800" max="800" width="30.33203125" bestFit="1" customWidth="1"/>
    <col min="801" max="801" width="31.5" bestFit="1" customWidth="1"/>
    <col min="802" max="802" width="29.5" bestFit="1" customWidth="1"/>
    <col min="803" max="803" width="28.83203125" bestFit="1" customWidth="1"/>
    <col min="804" max="804" width="30.6640625" bestFit="1" customWidth="1"/>
    <col min="805" max="805" width="30.33203125" bestFit="1" customWidth="1"/>
    <col min="806" max="806" width="31.5" bestFit="1" customWidth="1"/>
    <col min="807" max="807" width="29.5" bestFit="1" customWidth="1"/>
    <col min="808" max="808" width="28.83203125" bestFit="1" customWidth="1"/>
    <col min="809" max="809" width="30.6640625" bestFit="1" customWidth="1"/>
    <col min="810" max="810" width="30.33203125" bestFit="1" customWidth="1"/>
    <col min="811" max="811" width="31.5" bestFit="1" customWidth="1"/>
    <col min="812" max="812" width="29.5" bestFit="1" customWidth="1"/>
    <col min="813" max="813" width="28.83203125" bestFit="1" customWidth="1"/>
    <col min="814" max="814" width="30.6640625" bestFit="1" customWidth="1"/>
    <col min="815" max="815" width="30.33203125" bestFit="1" customWidth="1"/>
    <col min="816" max="816" width="31.5" bestFit="1" customWidth="1"/>
    <col min="817" max="817" width="29.5" bestFit="1" customWidth="1"/>
    <col min="818" max="818" width="28.83203125" bestFit="1" customWidth="1"/>
    <col min="819" max="819" width="30.6640625" bestFit="1" customWidth="1"/>
    <col min="820" max="820" width="30.33203125" bestFit="1" customWidth="1"/>
    <col min="821" max="821" width="31.5" bestFit="1" customWidth="1"/>
    <col min="822" max="822" width="29.5" bestFit="1" customWidth="1"/>
    <col min="823" max="823" width="28.83203125" bestFit="1" customWidth="1"/>
    <col min="824" max="824" width="30.6640625" bestFit="1" customWidth="1"/>
    <col min="825" max="825" width="30.33203125" bestFit="1" customWidth="1"/>
    <col min="826" max="826" width="31.5" bestFit="1" customWidth="1"/>
    <col min="827" max="827" width="29.5" bestFit="1" customWidth="1"/>
    <col min="828" max="828" width="28.83203125" bestFit="1" customWidth="1"/>
    <col min="829" max="829" width="30.6640625" bestFit="1" customWidth="1"/>
    <col min="830" max="830" width="30.33203125" bestFit="1" customWidth="1"/>
    <col min="831" max="831" width="31.5" bestFit="1" customWidth="1"/>
    <col min="832" max="832" width="29.5" bestFit="1" customWidth="1"/>
    <col min="833" max="833" width="28.83203125" bestFit="1" customWidth="1"/>
    <col min="834" max="834" width="30.6640625" bestFit="1" customWidth="1"/>
    <col min="835" max="835" width="30.33203125" bestFit="1" customWidth="1"/>
    <col min="836" max="836" width="31.5" bestFit="1" customWidth="1"/>
    <col min="837" max="837" width="29.5" bestFit="1" customWidth="1"/>
    <col min="838" max="838" width="28.83203125" bestFit="1" customWidth="1"/>
    <col min="839" max="839" width="30.6640625" bestFit="1" customWidth="1"/>
    <col min="840" max="840" width="30.33203125" bestFit="1" customWidth="1"/>
    <col min="841" max="841" width="31.5" bestFit="1" customWidth="1"/>
    <col min="842" max="842" width="29.5" bestFit="1" customWidth="1"/>
    <col min="843" max="843" width="28.83203125" bestFit="1" customWidth="1"/>
    <col min="844" max="844" width="30.6640625" bestFit="1" customWidth="1"/>
    <col min="845" max="845" width="30.33203125" bestFit="1" customWidth="1"/>
    <col min="846" max="846" width="31.5" bestFit="1" customWidth="1"/>
    <col min="847" max="847" width="29.5" bestFit="1" customWidth="1"/>
    <col min="848" max="848" width="28.83203125" bestFit="1" customWidth="1"/>
    <col min="849" max="849" width="30.6640625" bestFit="1" customWidth="1"/>
    <col min="850" max="850" width="30.33203125" bestFit="1" customWidth="1"/>
    <col min="851" max="851" width="31.5" bestFit="1" customWidth="1"/>
    <col min="852" max="852" width="29.5" bestFit="1" customWidth="1"/>
    <col min="853" max="853" width="28.83203125" bestFit="1" customWidth="1"/>
    <col min="854" max="854" width="30.6640625" bestFit="1" customWidth="1"/>
    <col min="855" max="855" width="30.33203125" bestFit="1" customWidth="1"/>
    <col min="856" max="856" width="31.5" bestFit="1" customWidth="1"/>
    <col min="857" max="857" width="29.5" bestFit="1" customWidth="1"/>
    <col min="858" max="858" width="28.83203125" bestFit="1" customWidth="1"/>
    <col min="859" max="859" width="30.6640625" bestFit="1" customWidth="1"/>
    <col min="860" max="860" width="30.33203125" bestFit="1" customWidth="1"/>
    <col min="861" max="861" width="31.5" bestFit="1" customWidth="1"/>
    <col min="862" max="862" width="29.5" bestFit="1" customWidth="1"/>
    <col min="863" max="863" width="28.83203125" bestFit="1" customWidth="1"/>
    <col min="864" max="864" width="30.6640625" bestFit="1" customWidth="1"/>
    <col min="865" max="865" width="30.33203125" bestFit="1" customWidth="1"/>
    <col min="866" max="866" width="31.5" bestFit="1" customWidth="1"/>
    <col min="867" max="867" width="29.5" bestFit="1" customWidth="1"/>
    <col min="868" max="868" width="28.83203125" bestFit="1" customWidth="1"/>
    <col min="869" max="869" width="30.6640625" bestFit="1" customWidth="1"/>
    <col min="870" max="870" width="30.33203125" bestFit="1" customWidth="1"/>
    <col min="871" max="871" width="31.5" bestFit="1" customWidth="1"/>
    <col min="872" max="872" width="29.5" bestFit="1" customWidth="1"/>
    <col min="873" max="873" width="28.83203125" bestFit="1" customWidth="1"/>
    <col min="874" max="874" width="30.6640625" bestFit="1" customWidth="1"/>
    <col min="875" max="875" width="30.33203125" bestFit="1" customWidth="1"/>
    <col min="876" max="876" width="31.5" bestFit="1" customWidth="1"/>
    <col min="877" max="877" width="29.5" bestFit="1" customWidth="1"/>
    <col min="878" max="878" width="28.83203125" bestFit="1" customWidth="1"/>
    <col min="879" max="879" width="30.6640625" bestFit="1" customWidth="1"/>
    <col min="880" max="880" width="30.33203125" bestFit="1" customWidth="1"/>
    <col min="881" max="881" width="31.5" bestFit="1" customWidth="1"/>
    <col min="882" max="882" width="29.5" bestFit="1" customWidth="1"/>
    <col min="883" max="883" width="28.83203125" bestFit="1" customWidth="1"/>
    <col min="884" max="884" width="30.6640625" bestFit="1" customWidth="1"/>
    <col min="885" max="885" width="30.33203125" bestFit="1" customWidth="1"/>
    <col min="886" max="886" width="31.5" bestFit="1" customWidth="1"/>
    <col min="887" max="887" width="29.5" bestFit="1" customWidth="1"/>
    <col min="888" max="888" width="28.83203125" bestFit="1" customWidth="1"/>
    <col min="889" max="889" width="30.6640625" bestFit="1" customWidth="1"/>
    <col min="890" max="890" width="30.33203125" bestFit="1" customWidth="1"/>
    <col min="891" max="891" width="31.5" bestFit="1" customWidth="1"/>
    <col min="892" max="892" width="29.5" bestFit="1" customWidth="1"/>
    <col min="893" max="893" width="28.83203125" bestFit="1" customWidth="1"/>
    <col min="894" max="894" width="30.6640625" bestFit="1" customWidth="1"/>
    <col min="895" max="895" width="30.33203125" bestFit="1" customWidth="1"/>
    <col min="896" max="896" width="31.5" bestFit="1" customWidth="1"/>
    <col min="897" max="897" width="29.5" bestFit="1" customWidth="1"/>
    <col min="898" max="898" width="28.83203125" bestFit="1" customWidth="1"/>
    <col min="899" max="899" width="30.6640625" bestFit="1" customWidth="1"/>
    <col min="900" max="900" width="30.33203125" bestFit="1" customWidth="1"/>
    <col min="901" max="901" width="31.5" bestFit="1" customWidth="1"/>
    <col min="902" max="902" width="29.5" bestFit="1" customWidth="1"/>
    <col min="903" max="903" width="28.83203125" bestFit="1" customWidth="1"/>
    <col min="904" max="904" width="30.6640625" bestFit="1" customWidth="1"/>
    <col min="905" max="905" width="30.33203125" bestFit="1" customWidth="1"/>
    <col min="906" max="906" width="31.5" bestFit="1" customWidth="1"/>
    <col min="907" max="907" width="29.5" bestFit="1" customWidth="1"/>
    <col min="908" max="908" width="28.83203125" bestFit="1" customWidth="1"/>
    <col min="909" max="909" width="30.6640625" bestFit="1" customWidth="1"/>
    <col min="910" max="910" width="30.33203125" bestFit="1" customWidth="1"/>
    <col min="911" max="911" width="31.5" bestFit="1" customWidth="1"/>
    <col min="912" max="912" width="29.5" bestFit="1" customWidth="1"/>
    <col min="913" max="913" width="28.83203125" bestFit="1" customWidth="1"/>
    <col min="914" max="914" width="30.6640625" bestFit="1" customWidth="1"/>
    <col min="915" max="915" width="30.33203125" bestFit="1" customWidth="1"/>
    <col min="916" max="916" width="31.5" bestFit="1" customWidth="1"/>
    <col min="917" max="917" width="29.5" bestFit="1" customWidth="1"/>
    <col min="918" max="918" width="28.83203125" bestFit="1" customWidth="1"/>
    <col min="919" max="919" width="30.6640625" bestFit="1" customWidth="1"/>
    <col min="920" max="920" width="30.33203125" bestFit="1" customWidth="1"/>
    <col min="921" max="921" width="31.5" bestFit="1" customWidth="1"/>
    <col min="922" max="922" width="29.5" bestFit="1" customWidth="1"/>
    <col min="923" max="923" width="28.83203125" bestFit="1" customWidth="1"/>
    <col min="924" max="924" width="30.6640625" bestFit="1" customWidth="1"/>
    <col min="925" max="925" width="30.33203125" bestFit="1" customWidth="1"/>
    <col min="926" max="926" width="31.5" bestFit="1" customWidth="1"/>
    <col min="927" max="927" width="29.5" bestFit="1" customWidth="1"/>
    <col min="928" max="928" width="28.83203125" bestFit="1" customWidth="1"/>
    <col min="929" max="929" width="30.6640625" bestFit="1" customWidth="1"/>
    <col min="930" max="930" width="30.33203125" bestFit="1" customWidth="1"/>
    <col min="931" max="931" width="31.5" bestFit="1" customWidth="1"/>
    <col min="932" max="932" width="29.5" bestFit="1" customWidth="1"/>
    <col min="933" max="933" width="28.83203125" bestFit="1" customWidth="1"/>
    <col min="934" max="934" width="30.6640625" bestFit="1" customWidth="1"/>
    <col min="935" max="935" width="30.33203125" bestFit="1" customWidth="1"/>
    <col min="936" max="936" width="31.5" bestFit="1" customWidth="1"/>
    <col min="937" max="937" width="29.5" bestFit="1" customWidth="1"/>
    <col min="938" max="938" width="28.83203125" bestFit="1" customWidth="1"/>
    <col min="939" max="939" width="30.6640625" bestFit="1" customWidth="1"/>
    <col min="940" max="940" width="30.33203125" bestFit="1" customWidth="1"/>
    <col min="941" max="941" width="31.5" bestFit="1" customWidth="1"/>
    <col min="942" max="942" width="29.5" bestFit="1" customWidth="1"/>
    <col min="943" max="943" width="28.83203125" bestFit="1" customWidth="1"/>
    <col min="944" max="944" width="30.6640625" bestFit="1" customWidth="1"/>
    <col min="945" max="945" width="30.33203125" bestFit="1" customWidth="1"/>
    <col min="946" max="946" width="31.5" bestFit="1" customWidth="1"/>
    <col min="947" max="947" width="29.5" bestFit="1" customWidth="1"/>
    <col min="948" max="948" width="28.83203125" bestFit="1" customWidth="1"/>
    <col min="949" max="949" width="30.6640625" bestFit="1" customWidth="1"/>
    <col min="950" max="950" width="30.33203125" bestFit="1" customWidth="1"/>
    <col min="951" max="951" width="31.5" bestFit="1" customWidth="1"/>
    <col min="952" max="952" width="29.5" bestFit="1" customWidth="1"/>
    <col min="953" max="953" width="28.83203125" bestFit="1" customWidth="1"/>
    <col min="954" max="954" width="30.6640625" bestFit="1" customWidth="1"/>
    <col min="955" max="955" width="30.33203125" bestFit="1" customWidth="1"/>
    <col min="956" max="956" width="31.5" bestFit="1" customWidth="1"/>
    <col min="957" max="957" width="29.5" bestFit="1" customWidth="1"/>
    <col min="958" max="958" width="28.83203125" bestFit="1" customWidth="1"/>
    <col min="959" max="959" width="30.6640625" bestFit="1" customWidth="1"/>
    <col min="960" max="960" width="30.33203125" bestFit="1" customWidth="1"/>
    <col min="961" max="961" width="31.5" bestFit="1" customWidth="1"/>
    <col min="962" max="962" width="29.5" bestFit="1" customWidth="1"/>
    <col min="963" max="963" width="28.83203125" bestFit="1" customWidth="1"/>
    <col min="964" max="964" width="30.6640625" bestFit="1" customWidth="1"/>
    <col min="965" max="965" width="30.33203125" bestFit="1" customWidth="1"/>
    <col min="966" max="966" width="31.5" bestFit="1" customWidth="1"/>
    <col min="967" max="967" width="29.5" bestFit="1" customWidth="1"/>
    <col min="968" max="968" width="28.83203125" bestFit="1" customWidth="1"/>
    <col min="969" max="969" width="30.6640625" bestFit="1" customWidth="1"/>
    <col min="970" max="970" width="30.33203125" bestFit="1" customWidth="1"/>
    <col min="971" max="971" width="31.5" bestFit="1" customWidth="1"/>
    <col min="972" max="972" width="29.5" bestFit="1" customWidth="1"/>
    <col min="973" max="973" width="28.83203125" bestFit="1" customWidth="1"/>
    <col min="974" max="974" width="30.6640625" bestFit="1" customWidth="1"/>
    <col min="975" max="975" width="30.33203125" bestFit="1" customWidth="1"/>
    <col min="976" max="976" width="31.5" bestFit="1" customWidth="1"/>
    <col min="977" max="977" width="29.5" bestFit="1" customWidth="1"/>
    <col min="978" max="978" width="28.83203125" bestFit="1" customWidth="1"/>
    <col min="979" max="979" width="30.6640625" bestFit="1" customWidth="1"/>
    <col min="980" max="980" width="30.33203125" bestFit="1" customWidth="1"/>
    <col min="981" max="981" width="31.5" bestFit="1" customWidth="1"/>
    <col min="982" max="982" width="29.5" bestFit="1" customWidth="1"/>
    <col min="983" max="983" width="28.83203125" bestFit="1" customWidth="1"/>
    <col min="984" max="984" width="30.6640625" bestFit="1" customWidth="1"/>
    <col min="985" max="985" width="30.33203125" bestFit="1" customWidth="1"/>
    <col min="986" max="986" width="31.5" bestFit="1" customWidth="1"/>
    <col min="987" max="987" width="29.5" bestFit="1" customWidth="1"/>
    <col min="988" max="988" width="28.83203125" bestFit="1" customWidth="1"/>
    <col min="989" max="989" width="30.6640625" bestFit="1" customWidth="1"/>
    <col min="990" max="990" width="30.33203125" bestFit="1" customWidth="1"/>
    <col min="991" max="991" width="31.5" bestFit="1" customWidth="1"/>
    <col min="992" max="992" width="29.5" bestFit="1" customWidth="1"/>
    <col min="993" max="993" width="28.83203125" bestFit="1" customWidth="1"/>
    <col min="994" max="994" width="30.6640625" bestFit="1" customWidth="1"/>
    <col min="995" max="995" width="30.33203125" bestFit="1" customWidth="1"/>
    <col min="996" max="996" width="31.5" bestFit="1" customWidth="1"/>
    <col min="997" max="997" width="29.5" bestFit="1" customWidth="1"/>
    <col min="998" max="998" width="28.83203125" bestFit="1" customWidth="1"/>
    <col min="999" max="999" width="30.6640625" bestFit="1" customWidth="1"/>
    <col min="1000" max="1000" width="30.33203125" bestFit="1" customWidth="1"/>
    <col min="1001" max="1001" width="31.5" bestFit="1" customWidth="1"/>
    <col min="1002" max="1002" width="29.5" bestFit="1" customWidth="1"/>
    <col min="1003" max="1003" width="28.83203125" bestFit="1" customWidth="1"/>
    <col min="1004" max="1004" width="30.6640625" bestFit="1" customWidth="1"/>
    <col min="1005" max="1005" width="30.33203125" bestFit="1" customWidth="1"/>
    <col min="1006" max="1006" width="31.5" bestFit="1" customWidth="1"/>
    <col min="1007" max="1007" width="29.5" bestFit="1" customWidth="1"/>
    <col min="1008" max="1008" width="28.83203125" bestFit="1" customWidth="1"/>
    <col min="1009" max="1009" width="30.6640625" bestFit="1" customWidth="1"/>
    <col min="1010" max="1010" width="30.33203125" bestFit="1" customWidth="1"/>
    <col min="1011" max="1011" width="31.5" bestFit="1" customWidth="1"/>
    <col min="1012" max="1012" width="29.5" bestFit="1" customWidth="1"/>
    <col min="1013" max="1013" width="28.83203125" bestFit="1" customWidth="1"/>
    <col min="1014" max="1014" width="30.6640625" bestFit="1" customWidth="1"/>
    <col min="1015" max="1015" width="30.33203125" bestFit="1" customWidth="1"/>
    <col min="1016" max="1016" width="31.5" bestFit="1" customWidth="1"/>
    <col min="1017" max="1017" width="29.5" bestFit="1" customWidth="1"/>
    <col min="1018" max="1018" width="28.83203125" bestFit="1" customWidth="1"/>
    <col min="1019" max="1019" width="30.6640625" bestFit="1" customWidth="1"/>
    <col min="1020" max="1020" width="30.33203125" bestFit="1" customWidth="1"/>
    <col min="1021" max="1021" width="31.5" bestFit="1" customWidth="1"/>
    <col min="1022" max="1022" width="29.5" bestFit="1" customWidth="1"/>
    <col min="1023" max="1023" width="28.83203125" bestFit="1" customWidth="1"/>
    <col min="1024" max="1024" width="30.6640625" bestFit="1" customWidth="1"/>
    <col min="1025" max="1025" width="30.33203125" bestFit="1" customWidth="1"/>
    <col min="1026" max="1026" width="31.5" bestFit="1" customWidth="1"/>
    <col min="1027" max="1027" width="29.5" bestFit="1" customWidth="1"/>
    <col min="1028" max="1028" width="28.83203125" bestFit="1" customWidth="1"/>
    <col min="1029" max="1029" width="30.6640625" bestFit="1" customWidth="1"/>
    <col min="1030" max="1030" width="30.33203125" bestFit="1" customWidth="1"/>
    <col min="1031" max="1031" width="31.5" bestFit="1" customWidth="1"/>
    <col min="1032" max="1032" width="29.5" bestFit="1" customWidth="1"/>
    <col min="1033" max="1033" width="28.83203125" bestFit="1" customWidth="1"/>
    <col min="1034" max="1034" width="30.6640625" bestFit="1" customWidth="1"/>
    <col min="1035" max="1035" width="30.33203125" bestFit="1" customWidth="1"/>
    <col min="1036" max="1036" width="31.5" bestFit="1" customWidth="1"/>
    <col min="1037" max="1037" width="29.5" bestFit="1" customWidth="1"/>
    <col min="1038" max="1038" width="28.83203125" bestFit="1" customWidth="1"/>
    <col min="1039" max="1039" width="30.6640625" bestFit="1" customWidth="1"/>
    <col min="1040" max="1040" width="30.33203125" bestFit="1" customWidth="1"/>
    <col min="1041" max="1041" width="31.5" bestFit="1" customWidth="1"/>
    <col min="1042" max="1042" width="29.5" bestFit="1" customWidth="1"/>
    <col min="1043" max="1043" width="28.83203125" bestFit="1" customWidth="1"/>
    <col min="1044" max="1044" width="30.6640625" bestFit="1" customWidth="1"/>
    <col min="1045" max="1045" width="30.33203125" bestFit="1" customWidth="1"/>
    <col min="1046" max="1046" width="31.5" bestFit="1" customWidth="1"/>
    <col min="1047" max="1047" width="29.5" bestFit="1" customWidth="1"/>
    <col min="1048" max="1048" width="28.83203125" bestFit="1" customWidth="1"/>
    <col min="1049" max="1049" width="30.6640625" bestFit="1" customWidth="1"/>
    <col min="1050" max="1050" width="30.33203125" bestFit="1" customWidth="1"/>
    <col min="1051" max="1051" width="31.5" bestFit="1" customWidth="1"/>
    <col min="1052" max="1052" width="29.5" bestFit="1" customWidth="1"/>
    <col min="1053" max="1053" width="28.83203125" bestFit="1" customWidth="1"/>
    <col min="1054" max="1054" width="30.6640625" bestFit="1" customWidth="1"/>
    <col min="1055" max="1055" width="30.33203125" bestFit="1" customWidth="1"/>
    <col min="1056" max="1056" width="31.5" bestFit="1" customWidth="1"/>
    <col min="1057" max="1057" width="29.5" bestFit="1" customWidth="1"/>
    <col min="1058" max="1058" width="28.83203125" bestFit="1" customWidth="1"/>
    <col min="1059" max="1059" width="30.6640625" bestFit="1" customWidth="1"/>
    <col min="1060" max="1060" width="30.33203125" bestFit="1" customWidth="1"/>
    <col min="1061" max="1061" width="31.5" bestFit="1" customWidth="1"/>
    <col min="1062" max="1062" width="29.5" bestFit="1" customWidth="1"/>
    <col min="1063" max="1063" width="28.83203125" bestFit="1" customWidth="1"/>
    <col min="1064" max="1064" width="30.6640625" bestFit="1" customWidth="1"/>
    <col min="1065" max="1065" width="30.33203125" bestFit="1" customWidth="1"/>
    <col min="1066" max="1066" width="31.5" bestFit="1" customWidth="1"/>
    <col min="1067" max="1067" width="29.5" bestFit="1" customWidth="1"/>
    <col min="1068" max="1068" width="28.83203125" bestFit="1" customWidth="1"/>
    <col min="1069" max="1069" width="30.6640625" bestFit="1" customWidth="1"/>
    <col min="1070" max="1070" width="30.33203125" bestFit="1" customWidth="1"/>
    <col min="1071" max="1071" width="31.5" bestFit="1" customWidth="1"/>
    <col min="1072" max="1072" width="29.5" bestFit="1" customWidth="1"/>
    <col min="1073" max="1073" width="28.83203125" bestFit="1" customWidth="1"/>
    <col min="1074" max="1074" width="30.6640625" bestFit="1" customWidth="1"/>
    <col min="1075" max="1075" width="30.33203125" bestFit="1" customWidth="1"/>
    <col min="1076" max="1076" width="31.5" bestFit="1" customWidth="1"/>
    <col min="1077" max="1077" width="29.5" bestFit="1" customWidth="1"/>
    <col min="1078" max="1078" width="28.83203125" bestFit="1" customWidth="1"/>
    <col min="1079" max="1079" width="30.6640625" bestFit="1" customWidth="1"/>
    <col min="1080" max="1080" width="30.33203125" bestFit="1" customWidth="1"/>
    <col min="1081" max="1081" width="31.5" bestFit="1" customWidth="1"/>
    <col min="1082" max="1082" width="29.5" bestFit="1" customWidth="1"/>
    <col min="1083" max="1083" width="28.83203125" bestFit="1" customWidth="1"/>
    <col min="1084" max="1084" width="30.6640625" bestFit="1" customWidth="1"/>
    <col min="1085" max="1085" width="30.33203125" bestFit="1" customWidth="1"/>
    <col min="1086" max="1086" width="31.5" bestFit="1" customWidth="1"/>
    <col min="1087" max="1087" width="29.5" bestFit="1" customWidth="1"/>
    <col min="1088" max="1088" width="28.83203125" bestFit="1" customWidth="1"/>
    <col min="1089" max="1089" width="30.6640625" bestFit="1" customWidth="1"/>
    <col min="1090" max="1090" width="30.33203125" bestFit="1" customWidth="1"/>
    <col min="1091" max="1091" width="31.5" bestFit="1" customWidth="1"/>
    <col min="1092" max="1092" width="29.5" bestFit="1" customWidth="1"/>
    <col min="1093" max="1093" width="28.83203125" bestFit="1" customWidth="1"/>
    <col min="1094" max="1094" width="30.6640625" bestFit="1" customWidth="1"/>
    <col min="1095" max="1095" width="30.33203125" bestFit="1" customWidth="1"/>
    <col min="1096" max="1096" width="31.5" bestFit="1" customWidth="1"/>
    <col min="1097" max="1097" width="29.5" bestFit="1" customWidth="1"/>
    <col min="1098" max="1098" width="28.83203125" bestFit="1" customWidth="1"/>
    <col min="1099" max="1099" width="30.6640625" bestFit="1" customWidth="1"/>
    <col min="1100" max="1100" width="30.33203125" bestFit="1" customWidth="1"/>
    <col min="1101" max="1101" width="31.5" bestFit="1" customWidth="1"/>
    <col min="1102" max="1102" width="29.5" bestFit="1" customWidth="1"/>
    <col min="1103" max="1103" width="28.83203125" bestFit="1" customWidth="1"/>
    <col min="1104" max="1104" width="30.6640625" bestFit="1" customWidth="1"/>
    <col min="1105" max="1105" width="30.33203125" bestFit="1" customWidth="1"/>
    <col min="1106" max="1106" width="31.5" bestFit="1" customWidth="1"/>
    <col min="1107" max="1107" width="29.5" bestFit="1" customWidth="1"/>
    <col min="1108" max="1108" width="28.83203125" bestFit="1" customWidth="1"/>
    <col min="1109" max="1109" width="30.6640625" bestFit="1" customWidth="1"/>
    <col min="1110" max="1110" width="30.33203125" bestFit="1" customWidth="1"/>
    <col min="1111" max="1111" width="31.5" bestFit="1" customWidth="1"/>
    <col min="1112" max="1112" width="29.5" bestFit="1" customWidth="1"/>
    <col min="1113" max="1113" width="28.83203125" bestFit="1" customWidth="1"/>
    <col min="1114" max="1114" width="30.6640625" bestFit="1" customWidth="1"/>
    <col min="1115" max="1115" width="30.33203125" bestFit="1" customWidth="1"/>
    <col min="1116" max="1116" width="31.5" bestFit="1" customWidth="1"/>
    <col min="1117" max="1117" width="29.5" bestFit="1" customWidth="1"/>
    <col min="1118" max="1118" width="28.83203125" bestFit="1" customWidth="1"/>
    <col min="1119" max="1119" width="30.6640625" bestFit="1" customWidth="1"/>
    <col min="1120" max="1120" width="30.33203125" bestFit="1" customWidth="1"/>
    <col min="1121" max="1121" width="31.5" bestFit="1" customWidth="1"/>
    <col min="1122" max="1122" width="29.5" bestFit="1" customWidth="1"/>
    <col min="1123" max="1123" width="28.83203125" bestFit="1" customWidth="1"/>
    <col min="1124" max="1124" width="30.6640625" bestFit="1" customWidth="1"/>
    <col min="1125" max="1125" width="30.33203125" bestFit="1" customWidth="1"/>
    <col min="1126" max="1126" width="31.5" bestFit="1" customWidth="1"/>
    <col min="1127" max="1127" width="29.5" bestFit="1" customWidth="1"/>
    <col min="1128" max="1128" width="28.83203125" bestFit="1" customWidth="1"/>
    <col min="1129" max="1129" width="30.6640625" bestFit="1" customWidth="1"/>
    <col min="1130" max="1130" width="30.33203125" bestFit="1" customWidth="1"/>
    <col min="1131" max="1131" width="31.5" bestFit="1" customWidth="1"/>
    <col min="1132" max="1132" width="29.5" bestFit="1" customWidth="1"/>
    <col min="1133" max="1133" width="28.83203125" bestFit="1" customWidth="1"/>
    <col min="1134" max="1134" width="30.6640625" bestFit="1" customWidth="1"/>
    <col min="1135" max="1135" width="30.33203125" bestFit="1" customWidth="1"/>
    <col min="1136" max="1136" width="31.5" bestFit="1" customWidth="1"/>
    <col min="1137" max="1137" width="29.5" bestFit="1" customWidth="1"/>
    <col min="1138" max="1138" width="28.83203125" bestFit="1" customWidth="1"/>
    <col min="1139" max="1139" width="30.6640625" bestFit="1" customWidth="1"/>
    <col min="1140" max="1140" width="30.33203125" bestFit="1" customWidth="1"/>
    <col min="1141" max="1141" width="31.5" bestFit="1" customWidth="1"/>
    <col min="1142" max="1142" width="29.5" bestFit="1" customWidth="1"/>
    <col min="1143" max="1143" width="28.83203125" bestFit="1" customWidth="1"/>
    <col min="1144" max="1144" width="30.6640625" bestFit="1" customWidth="1"/>
    <col min="1145" max="1145" width="30.33203125" bestFit="1" customWidth="1"/>
    <col min="1146" max="1146" width="31.5" bestFit="1" customWidth="1"/>
    <col min="1147" max="1147" width="29.5" bestFit="1" customWidth="1"/>
    <col min="1148" max="1148" width="28.83203125" bestFit="1" customWidth="1"/>
    <col min="1149" max="1149" width="30.6640625" bestFit="1" customWidth="1"/>
    <col min="1150" max="1150" width="30.33203125" bestFit="1" customWidth="1"/>
    <col min="1151" max="1151" width="31.5" bestFit="1" customWidth="1"/>
    <col min="1152" max="1152" width="29.5" bestFit="1" customWidth="1"/>
    <col min="1153" max="1153" width="28.83203125" bestFit="1" customWidth="1"/>
    <col min="1154" max="1154" width="30.6640625" bestFit="1" customWidth="1"/>
    <col min="1155" max="1155" width="30.33203125" bestFit="1" customWidth="1"/>
    <col min="1156" max="1156" width="31.5" bestFit="1" customWidth="1"/>
    <col min="1157" max="1157" width="29.5" bestFit="1" customWidth="1"/>
    <col min="1158" max="1158" width="28.83203125" bestFit="1" customWidth="1"/>
    <col min="1159" max="1159" width="30.6640625" bestFit="1" customWidth="1"/>
    <col min="1160" max="1160" width="30.33203125" bestFit="1" customWidth="1"/>
    <col min="1161" max="1161" width="31.5" bestFit="1" customWidth="1"/>
    <col min="1162" max="1162" width="29.5" bestFit="1" customWidth="1"/>
    <col min="1163" max="1163" width="28.83203125" bestFit="1" customWidth="1"/>
    <col min="1164" max="1164" width="30.6640625" bestFit="1" customWidth="1"/>
    <col min="1165" max="1165" width="30.33203125" bestFit="1" customWidth="1"/>
    <col min="1166" max="1166" width="31.5" bestFit="1" customWidth="1"/>
    <col min="1167" max="1167" width="29.5" bestFit="1" customWidth="1"/>
    <col min="1168" max="1168" width="28.83203125" bestFit="1" customWidth="1"/>
    <col min="1169" max="1169" width="30.6640625" bestFit="1" customWidth="1"/>
    <col min="1170" max="1170" width="30.33203125" bestFit="1" customWidth="1"/>
    <col min="1171" max="1171" width="31.5" bestFit="1" customWidth="1"/>
    <col min="1172" max="1172" width="29.5" bestFit="1" customWidth="1"/>
    <col min="1173" max="1173" width="28.83203125" bestFit="1" customWidth="1"/>
    <col min="1174" max="1174" width="30.6640625" bestFit="1" customWidth="1"/>
    <col min="1175" max="1175" width="30.33203125" bestFit="1" customWidth="1"/>
    <col min="1176" max="1176" width="31.5" bestFit="1" customWidth="1"/>
    <col min="1177" max="1177" width="29.5" bestFit="1" customWidth="1"/>
    <col min="1178" max="1178" width="28.83203125" bestFit="1" customWidth="1"/>
    <col min="1179" max="1179" width="30.6640625" bestFit="1" customWidth="1"/>
    <col min="1180" max="1180" width="30.33203125" bestFit="1" customWidth="1"/>
    <col min="1181" max="1181" width="31.5" bestFit="1" customWidth="1"/>
    <col min="1182" max="1182" width="29.5" bestFit="1" customWidth="1"/>
    <col min="1183" max="1183" width="28.83203125" bestFit="1" customWidth="1"/>
    <col min="1184" max="1184" width="30.6640625" bestFit="1" customWidth="1"/>
    <col min="1185" max="1185" width="30.33203125" bestFit="1" customWidth="1"/>
    <col min="1186" max="1186" width="31.5" bestFit="1" customWidth="1"/>
    <col min="1187" max="1187" width="29.5" bestFit="1" customWidth="1"/>
    <col min="1188" max="1188" width="28.83203125" bestFit="1" customWidth="1"/>
    <col min="1189" max="1189" width="30.6640625" bestFit="1" customWidth="1"/>
    <col min="1190" max="1190" width="30.33203125" bestFit="1" customWidth="1"/>
    <col min="1191" max="1191" width="31.5" bestFit="1" customWidth="1"/>
    <col min="1192" max="1192" width="29.5" bestFit="1" customWidth="1"/>
    <col min="1193" max="1193" width="28.83203125" bestFit="1" customWidth="1"/>
    <col min="1194" max="1194" width="30.6640625" bestFit="1" customWidth="1"/>
    <col min="1195" max="1195" width="30.33203125" bestFit="1" customWidth="1"/>
    <col min="1196" max="1196" width="31.5" bestFit="1" customWidth="1"/>
    <col min="1197" max="1197" width="29.5" bestFit="1" customWidth="1"/>
    <col min="1198" max="1198" width="28.83203125" bestFit="1" customWidth="1"/>
    <col min="1199" max="1199" width="30.6640625" bestFit="1" customWidth="1"/>
    <col min="1200" max="1200" width="30.33203125" bestFit="1" customWidth="1"/>
    <col min="1201" max="1201" width="31.5" bestFit="1" customWidth="1"/>
    <col min="1202" max="1202" width="29.5" bestFit="1" customWidth="1"/>
    <col min="1203" max="1203" width="28.83203125" bestFit="1" customWidth="1"/>
    <col min="1204" max="1204" width="30.6640625" bestFit="1" customWidth="1"/>
    <col min="1205" max="1205" width="30.33203125" bestFit="1" customWidth="1"/>
    <col min="1206" max="1206" width="31.5" bestFit="1" customWidth="1"/>
    <col min="1207" max="1207" width="29.5" bestFit="1" customWidth="1"/>
    <col min="1208" max="1208" width="28.83203125" bestFit="1" customWidth="1"/>
    <col min="1209" max="1209" width="30.6640625" bestFit="1" customWidth="1"/>
    <col min="1210" max="1210" width="30.33203125" bestFit="1" customWidth="1"/>
    <col min="1211" max="1211" width="31.5" bestFit="1" customWidth="1"/>
    <col min="1212" max="1212" width="29.5" bestFit="1" customWidth="1"/>
    <col min="1213" max="1213" width="28.83203125" bestFit="1" customWidth="1"/>
    <col min="1214" max="1214" width="30.6640625" bestFit="1" customWidth="1"/>
    <col min="1215" max="1215" width="30.33203125" bestFit="1" customWidth="1"/>
    <col min="1216" max="1216" width="31.5" bestFit="1" customWidth="1"/>
    <col min="1217" max="1217" width="29.5" bestFit="1" customWidth="1"/>
    <col min="1218" max="1218" width="28.83203125" bestFit="1" customWidth="1"/>
    <col min="1219" max="1219" width="30.6640625" bestFit="1" customWidth="1"/>
    <col min="1220" max="1220" width="30.33203125" bestFit="1" customWidth="1"/>
    <col min="1221" max="1221" width="31.5" bestFit="1" customWidth="1"/>
    <col min="1222" max="1222" width="29.5" bestFit="1" customWidth="1"/>
    <col min="1223" max="1223" width="28.83203125" bestFit="1" customWidth="1"/>
    <col min="1224" max="1224" width="30.6640625" bestFit="1" customWidth="1"/>
    <col min="1225" max="1225" width="30.33203125" bestFit="1" customWidth="1"/>
    <col min="1226" max="1226" width="31.5" bestFit="1" customWidth="1"/>
    <col min="1227" max="1227" width="29.5" bestFit="1" customWidth="1"/>
    <col min="1228" max="1228" width="28.83203125" bestFit="1" customWidth="1"/>
    <col min="1229" max="1229" width="30.6640625" bestFit="1" customWidth="1"/>
    <col min="1230" max="1230" width="30.33203125" bestFit="1" customWidth="1"/>
    <col min="1231" max="1231" width="31.5" bestFit="1" customWidth="1"/>
    <col min="1232" max="1232" width="29.5" bestFit="1" customWidth="1"/>
    <col min="1233" max="1233" width="28.83203125" bestFit="1" customWidth="1"/>
    <col min="1234" max="1234" width="30.6640625" bestFit="1" customWidth="1"/>
    <col min="1235" max="1235" width="30.33203125" bestFit="1" customWidth="1"/>
    <col min="1236" max="1236" width="31.5" bestFit="1" customWidth="1"/>
    <col min="1237" max="1237" width="29.5" bestFit="1" customWidth="1"/>
    <col min="1238" max="1238" width="28.83203125" bestFit="1" customWidth="1"/>
    <col min="1239" max="1239" width="30.6640625" bestFit="1" customWidth="1"/>
    <col min="1240" max="1240" width="30.33203125" bestFit="1" customWidth="1"/>
    <col min="1241" max="1241" width="31.5" bestFit="1" customWidth="1"/>
    <col min="1242" max="1242" width="29.5" bestFit="1" customWidth="1"/>
    <col min="1243" max="1243" width="28.83203125" bestFit="1" customWidth="1"/>
    <col min="1244" max="1244" width="30.6640625" bestFit="1" customWidth="1"/>
    <col min="1245" max="1245" width="30.33203125" bestFit="1" customWidth="1"/>
    <col min="1246" max="1246" width="31.5" bestFit="1" customWidth="1"/>
    <col min="1247" max="1247" width="29.5" bestFit="1" customWidth="1"/>
    <col min="1248" max="1248" width="28.83203125" bestFit="1" customWidth="1"/>
    <col min="1249" max="1249" width="30.6640625" bestFit="1" customWidth="1"/>
    <col min="1250" max="1250" width="30.33203125" bestFit="1" customWidth="1"/>
    <col min="1251" max="1251" width="31.5" bestFit="1" customWidth="1"/>
    <col min="1252" max="1252" width="29.5" bestFit="1" customWidth="1"/>
    <col min="1253" max="1253" width="28.83203125" bestFit="1" customWidth="1"/>
    <col min="1254" max="1254" width="30.6640625" bestFit="1" customWidth="1"/>
    <col min="1255" max="1255" width="30.33203125" bestFit="1" customWidth="1"/>
    <col min="1256" max="1256" width="31.5" bestFit="1" customWidth="1"/>
    <col min="1257" max="1257" width="29.5" bestFit="1" customWidth="1"/>
    <col min="1258" max="1258" width="28.83203125" bestFit="1" customWidth="1"/>
    <col min="1259" max="1259" width="30.6640625" bestFit="1" customWidth="1"/>
    <col min="1260" max="1260" width="30.33203125" bestFit="1" customWidth="1"/>
    <col min="1261" max="1261" width="31.5" bestFit="1" customWidth="1"/>
    <col min="1262" max="1262" width="29.5" bestFit="1" customWidth="1"/>
    <col min="1263" max="1263" width="28.83203125" bestFit="1" customWidth="1"/>
    <col min="1264" max="1264" width="30.6640625" bestFit="1" customWidth="1"/>
    <col min="1265" max="1265" width="30.33203125" bestFit="1" customWidth="1"/>
    <col min="1266" max="1266" width="31.5" bestFit="1" customWidth="1"/>
    <col min="1267" max="1267" width="29.5" bestFit="1" customWidth="1"/>
    <col min="1268" max="1268" width="28.83203125" bestFit="1" customWidth="1"/>
    <col min="1269" max="1269" width="30.6640625" bestFit="1" customWidth="1"/>
    <col min="1270" max="1270" width="30.33203125" bestFit="1" customWidth="1"/>
    <col min="1271" max="1271" width="31.5" bestFit="1" customWidth="1"/>
    <col min="1272" max="1272" width="29.5" bestFit="1" customWidth="1"/>
    <col min="1273" max="1273" width="28.83203125" bestFit="1" customWidth="1"/>
    <col min="1274" max="1274" width="30.6640625" bestFit="1" customWidth="1"/>
    <col min="1275" max="1275" width="30.33203125" bestFit="1" customWidth="1"/>
    <col min="1276" max="1276" width="31.5" bestFit="1" customWidth="1"/>
    <col min="1277" max="1277" width="29.5" bestFit="1" customWidth="1"/>
    <col min="1278" max="1278" width="28.83203125" bestFit="1" customWidth="1"/>
    <col min="1279" max="1279" width="30.6640625" bestFit="1" customWidth="1"/>
    <col min="1280" max="1280" width="30.33203125" bestFit="1" customWidth="1"/>
    <col min="1281" max="1281" width="31.5" bestFit="1" customWidth="1"/>
    <col min="1282" max="1282" width="29.5" bestFit="1" customWidth="1"/>
    <col min="1283" max="1283" width="28.83203125" bestFit="1" customWidth="1"/>
    <col min="1284" max="1284" width="30.6640625" bestFit="1" customWidth="1"/>
    <col min="1285" max="1285" width="30.33203125" bestFit="1" customWidth="1"/>
    <col min="1286" max="1286" width="31.5" bestFit="1" customWidth="1"/>
    <col min="1287" max="1287" width="29.5" bestFit="1" customWidth="1"/>
    <col min="1288" max="1288" width="28.83203125" bestFit="1" customWidth="1"/>
    <col min="1289" max="1289" width="30.6640625" bestFit="1" customWidth="1"/>
    <col min="1290" max="1290" width="30.33203125" bestFit="1" customWidth="1"/>
    <col min="1291" max="1291" width="31.5" bestFit="1" customWidth="1"/>
    <col min="1292" max="1292" width="29.5" bestFit="1" customWidth="1"/>
    <col min="1293" max="1293" width="28.83203125" bestFit="1" customWidth="1"/>
    <col min="1294" max="1294" width="30.6640625" bestFit="1" customWidth="1"/>
    <col min="1295" max="1295" width="30.33203125" bestFit="1" customWidth="1"/>
    <col min="1296" max="1296" width="31.5" bestFit="1" customWidth="1"/>
    <col min="1297" max="1297" width="29.5" bestFit="1" customWidth="1"/>
    <col min="1298" max="1298" width="28.83203125" bestFit="1" customWidth="1"/>
    <col min="1299" max="1299" width="30.6640625" bestFit="1" customWidth="1"/>
    <col min="1300" max="1300" width="30.33203125" bestFit="1" customWidth="1"/>
    <col min="1301" max="1301" width="31.5" bestFit="1" customWidth="1"/>
    <col min="1302" max="1302" width="29.5" bestFit="1" customWidth="1"/>
    <col min="1303" max="1303" width="28.83203125" bestFit="1" customWidth="1"/>
    <col min="1304" max="1304" width="30.6640625" bestFit="1" customWidth="1"/>
    <col min="1305" max="1305" width="30.33203125" bestFit="1" customWidth="1"/>
    <col min="1306" max="1306" width="31.5" bestFit="1" customWidth="1"/>
    <col min="1307" max="1307" width="29.5" bestFit="1" customWidth="1"/>
    <col min="1308" max="1308" width="28.83203125" bestFit="1" customWidth="1"/>
    <col min="1309" max="1309" width="30.6640625" bestFit="1" customWidth="1"/>
    <col min="1310" max="1310" width="30.33203125" bestFit="1" customWidth="1"/>
    <col min="1311" max="1311" width="31.5" bestFit="1" customWidth="1"/>
    <col min="1312" max="1312" width="29.5" bestFit="1" customWidth="1"/>
    <col min="1313" max="1313" width="28.83203125" bestFit="1" customWidth="1"/>
    <col min="1314" max="1314" width="30.6640625" bestFit="1" customWidth="1"/>
    <col min="1315" max="1315" width="30.33203125" bestFit="1" customWidth="1"/>
    <col min="1316" max="1316" width="31.5" bestFit="1" customWidth="1"/>
    <col min="1317" max="1317" width="29.5" bestFit="1" customWidth="1"/>
    <col min="1318" max="1318" width="28.83203125" bestFit="1" customWidth="1"/>
    <col min="1319" max="1319" width="30.6640625" bestFit="1" customWidth="1"/>
    <col min="1320" max="1320" width="30.33203125" bestFit="1" customWidth="1"/>
    <col min="1321" max="1321" width="31.5" bestFit="1" customWidth="1"/>
    <col min="1322" max="1322" width="29.5" bestFit="1" customWidth="1"/>
    <col min="1323" max="1323" width="28.83203125" bestFit="1" customWidth="1"/>
    <col min="1324" max="1324" width="30.6640625" bestFit="1" customWidth="1"/>
    <col min="1325" max="1325" width="30.33203125" bestFit="1" customWidth="1"/>
    <col min="1326" max="1326" width="31.5" bestFit="1" customWidth="1"/>
    <col min="1327" max="1327" width="29.5" bestFit="1" customWidth="1"/>
    <col min="1328" max="1328" width="28.83203125" bestFit="1" customWidth="1"/>
    <col min="1329" max="1329" width="30.6640625" bestFit="1" customWidth="1"/>
    <col min="1330" max="1330" width="30.33203125" bestFit="1" customWidth="1"/>
    <col min="1331" max="1331" width="31.5" bestFit="1" customWidth="1"/>
    <col min="1332" max="1332" width="29.5" bestFit="1" customWidth="1"/>
    <col min="1333" max="1333" width="28.83203125" bestFit="1" customWidth="1"/>
    <col min="1334" max="1334" width="30.6640625" bestFit="1" customWidth="1"/>
    <col min="1335" max="1335" width="30.33203125" bestFit="1" customWidth="1"/>
    <col min="1336" max="1336" width="31.5" bestFit="1" customWidth="1"/>
    <col min="1337" max="1337" width="29.5" bestFit="1" customWidth="1"/>
    <col min="1338" max="1338" width="28.83203125" bestFit="1" customWidth="1"/>
    <col min="1339" max="1339" width="30.6640625" bestFit="1" customWidth="1"/>
    <col min="1340" max="1340" width="30.33203125" bestFit="1" customWidth="1"/>
    <col min="1341" max="1341" width="31.5" bestFit="1" customWidth="1"/>
    <col min="1342" max="1342" width="29.5" bestFit="1" customWidth="1"/>
    <col min="1343" max="1343" width="28.83203125" bestFit="1" customWidth="1"/>
    <col min="1344" max="1344" width="30.6640625" bestFit="1" customWidth="1"/>
    <col min="1345" max="1345" width="30.33203125" bestFit="1" customWidth="1"/>
    <col min="1346" max="1346" width="31.5" bestFit="1" customWidth="1"/>
    <col min="1347" max="1347" width="29.5" bestFit="1" customWidth="1"/>
    <col min="1348" max="1348" width="28.83203125" bestFit="1" customWidth="1"/>
    <col min="1349" max="1349" width="30.6640625" bestFit="1" customWidth="1"/>
    <col min="1350" max="1350" width="30.33203125" bestFit="1" customWidth="1"/>
    <col min="1351" max="1351" width="31.5" bestFit="1" customWidth="1"/>
    <col min="1352" max="1352" width="29.5" bestFit="1" customWidth="1"/>
    <col min="1353" max="1353" width="28.83203125" bestFit="1" customWidth="1"/>
    <col min="1354" max="1354" width="30.6640625" bestFit="1" customWidth="1"/>
    <col min="1355" max="1355" width="30.33203125" bestFit="1" customWidth="1"/>
    <col min="1356" max="1356" width="31.5" bestFit="1" customWidth="1"/>
    <col min="1357" max="1357" width="29.5" bestFit="1" customWidth="1"/>
    <col min="1358" max="1358" width="28.83203125" bestFit="1" customWidth="1"/>
    <col min="1359" max="1359" width="30.6640625" bestFit="1" customWidth="1"/>
    <col min="1360" max="1360" width="30.33203125" bestFit="1" customWidth="1"/>
    <col min="1361" max="1361" width="31.5" bestFit="1" customWidth="1"/>
    <col min="1362" max="1362" width="29.5" bestFit="1" customWidth="1"/>
    <col min="1363" max="1363" width="28.83203125" bestFit="1" customWidth="1"/>
    <col min="1364" max="1364" width="30.6640625" bestFit="1" customWidth="1"/>
    <col min="1365" max="1365" width="30.33203125" bestFit="1" customWidth="1"/>
    <col min="1366" max="1366" width="31.5" bestFit="1" customWidth="1"/>
    <col min="1367" max="1367" width="29.5" bestFit="1" customWidth="1"/>
    <col min="1368" max="1368" width="28.83203125" bestFit="1" customWidth="1"/>
    <col min="1369" max="1369" width="30.6640625" bestFit="1" customWidth="1"/>
    <col min="1370" max="1370" width="30.33203125" bestFit="1" customWidth="1"/>
    <col min="1371" max="1371" width="31.5" bestFit="1" customWidth="1"/>
    <col min="1372" max="1372" width="29.5" bestFit="1" customWidth="1"/>
    <col min="1373" max="1373" width="28.83203125" bestFit="1" customWidth="1"/>
    <col min="1374" max="1374" width="30.6640625" bestFit="1" customWidth="1"/>
    <col min="1375" max="1375" width="30.33203125" bestFit="1" customWidth="1"/>
    <col min="1376" max="1376" width="31.5" bestFit="1" customWidth="1"/>
    <col min="1377" max="1377" width="29.5" bestFit="1" customWidth="1"/>
    <col min="1378" max="1378" width="28.83203125" bestFit="1" customWidth="1"/>
    <col min="1379" max="1379" width="30.6640625" bestFit="1" customWidth="1"/>
    <col min="1380" max="1380" width="30.33203125" bestFit="1" customWidth="1"/>
    <col min="1381" max="1381" width="31.5" bestFit="1" customWidth="1"/>
    <col min="1382" max="1382" width="29.5" bestFit="1" customWidth="1"/>
    <col min="1383" max="1383" width="28.83203125" bestFit="1" customWidth="1"/>
    <col min="1384" max="1384" width="30.6640625" bestFit="1" customWidth="1"/>
    <col min="1385" max="1385" width="30.33203125" bestFit="1" customWidth="1"/>
    <col min="1386" max="1386" width="31.5" bestFit="1" customWidth="1"/>
    <col min="1387" max="1387" width="29.5" bestFit="1" customWidth="1"/>
    <col min="1388" max="1388" width="28.83203125" bestFit="1" customWidth="1"/>
    <col min="1389" max="1389" width="30.6640625" bestFit="1" customWidth="1"/>
    <col min="1390" max="1390" width="30.33203125" bestFit="1" customWidth="1"/>
    <col min="1391" max="1391" width="31.5" bestFit="1" customWidth="1"/>
    <col min="1392" max="1392" width="29.5" bestFit="1" customWidth="1"/>
    <col min="1393" max="1393" width="28.83203125" bestFit="1" customWidth="1"/>
    <col min="1394" max="1394" width="30.6640625" bestFit="1" customWidth="1"/>
    <col min="1395" max="1395" width="30.33203125" bestFit="1" customWidth="1"/>
    <col min="1396" max="1396" width="31.5" bestFit="1" customWidth="1"/>
    <col min="1397" max="1397" width="29.5" bestFit="1" customWidth="1"/>
    <col min="1398" max="1398" width="28.83203125" bestFit="1" customWidth="1"/>
    <col min="1399" max="1399" width="30.6640625" bestFit="1" customWidth="1"/>
    <col min="1400" max="1400" width="30.33203125" bestFit="1" customWidth="1"/>
    <col min="1401" max="1401" width="31.5" bestFit="1" customWidth="1"/>
    <col min="1402" max="1402" width="29.5" bestFit="1" customWidth="1"/>
    <col min="1403" max="1403" width="28.83203125" bestFit="1" customWidth="1"/>
    <col min="1404" max="1404" width="30.6640625" bestFit="1" customWidth="1"/>
    <col min="1405" max="1405" width="30.33203125" bestFit="1" customWidth="1"/>
    <col min="1406" max="1406" width="31.5" bestFit="1" customWidth="1"/>
    <col min="1407" max="1407" width="29.5" bestFit="1" customWidth="1"/>
    <col min="1408" max="1408" width="28.83203125" bestFit="1" customWidth="1"/>
    <col min="1409" max="1409" width="30.6640625" bestFit="1" customWidth="1"/>
    <col min="1410" max="1410" width="30.33203125" bestFit="1" customWidth="1"/>
    <col min="1411" max="1411" width="31.5" bestFit="1" customWidth="1"/>
    <col min="1412" max="1412" width="29.5" bestFit="1" customWidth="1"/>
    <col min="1413" max="1413" width="28.83203125" bestFit="1" customWidth="1"/>
    <col min="1414" max="1414" width="30.6640625" bestFit="1" customWidth="1"/>
    <col min="1415" max="1415" width="30.33203125" bestFit="1" customWidth="1"/>
    <col min="1416" max="1416" width="31.5" bestFit="1" customWidth="1"/>
    <col min="1417" max="1417" width="29.5" bestFit="1" customWidth="1"/>
    <col min="1418" max="1418" width="28.83203125" bestFit="1" customWidth="1"/>
    <col min="1419" max="1419" width="30.6640625" bestFit="1" customWidth="1"/>
    <col min="1420" max="1420" width="30.33203125" bestFit="1" customWidth="1"/>
    <col min="1421" max="1421" width="31.5" bestFit="1" customWidth="1"/>
    <col min="1422" max="1422" width="29.5" bestFit="1" customWidth="1"/>
    <col min="1423" max="1423" width="28.83203125" bestFit="1" customWidth="1"/>
    <col min="1424" max="1424" width="30.6640625" bestFit="1" customWidth="1"/>
    <col min="1425" max="1425" width="30.33203125" bestFit="1" customWidth="1"/>
    <col min="1426" max="1426" width="31.5" bestFit="1" customWidth="1"/>
    <col min="1427" max="1427" width="29.5" bestFit="1" customWidth="1"/>
    <col min="1428" max="1428" width="28.83203125" bestFit="1" customWidth="1"/>
    <col min="1429" max="1429" width="30.6640625" bestFit="1" customWidth="1"/>
    <col min="1430" max="1430" width="30.33203125" bestFit="1" customWidth="1"/>
    <col min="1431" max="1431" width="31.5" bestFit="1" customWidth="1"/>
    <col min="1432" max="1432" width="29.5" bestFit="1" customWidth="1"/>
    <col min="1433" max="1433" width="28.83203125" bestFit="1" customWidth="1"/>
    <col min="1434" max="1434" width="30.6640625" bestFit="1" customWidth="1"/>
    <col min="1435" max="1435" width="30.33203125" bestFit="1" customWidth="1"/>
    <col min="1436" max="1436" width="31.5" bestFit="1" customWidth="1"/>
    <col min="1437" max="1437" width="29.5" bestFit="1" customWidth="1"/>
    <col min="1438" max="1438" width="28.83203125" bestFit="1" customWidth="1"/>
    <col min="1439" max="1439" width="30.6640625" bestFit="1" customWidth="1"/>
    <col min="1440" max="1440" width="30.33203125" bestFit="1" customWidth="1"/>
    <col min="1441" max="1441" width="31.5" bestFit="1" customWidth="1"/>
    <col min="1442" max="1442" width="29.5" bestFit="1" customWidth="1"/>
    <col min="1443" max="1443" width="28.83203125" bestFit="1" customWidth="1"/>
    <col min="1444" max="1444" width="30.6640625" bestFit="1" customWidth="1"/>
    <col min="1445" max="1445" width="30.33203125" bestFit="1" customWidth="1"/>
    <col min="1446" max="1446" width="31.5" bestFit="1" customWidth="1"/>
    <col min="1447" max="1447" width="29.5" bestFit="1" customWidth="1"/>
    <col min="1448" max="1448" width="28.83203125" bestFit="1" customWidth="1"/>
    <col min="1449" max="1449" width="30.6640625" bestFit="1" customWidth="1"/>
    <col min="1450" max="1450" width="30.33203125" bestFit="1" customWidth="1"/>
    <col min="1451" max="1451" width="31.5" bestFit="1" customWidth="1"/>
    <col min="1452" max="1452" width="29.5" bestFit="1" customWidth="1"/>
    <col min="1453" max="1453" width="28.83203125" bestFit="1" customWidth="1"/>
    <col min="1454" max="1454" width="30.6640625" bestFit="1" customWidth="1"/>
    <col min="1455" max="1455" width="30.33203125" bestFit="1" customWidth="1"/>
    <col min="1456" max="1456" width="31.5" bestFit="1" customWidth="1"/>
    <col min="1457" max="1457" width="29.5" bestFit="1" customWidth="1"/>
    <col min="1458" max="1458" width="28.83203125" bestFit="1" customWidth="1"/>
    <col min="1459" max="1459" width="30.6640625" bestFit="1" customWidth="1"/>
    <col min="1460" max="1460" width="30.33203125" bestFit="1" customWidth="1"/>
    <col min="1461" max="1461" width="31.5" bestFit="1" customWidth="1"/>
    <col min="1462" max="1462" width="29.5" bestFit="1" customWidth="1"/>
    <col min="1463" max="1463" width="28.83203125" bestFit="1" customWidth="1"/>
    <col min="1464" max="1464" width="30.6640625" bestFit="1" customWidth="1"/>
    <col min="1465" max="1465" width="30.33203125" bestFit="1" customWidth="1"/>
    <col min="1466" max="1466" width="31.5" bestFit="1" customWidth="1"/>
    <col min="1467" max="1467" width="29.5" bestFit="1" customWidth="1"/>
    <col min="1468" max="1468" width="28.83203125" bestFit="1" customWidth="1"/>
    <col min="1469" max="1469" width="30.6640625" bestFit="1" customWidth="1"/>
    <col min="1470" max="1470" width="30.33203125" bestFit="1" customWidth="1"/>
    <col min="1471" max="1471" width="31.5" bestFit="1" customWidth="1"/>
    <col min="1472" max="1472" width="29.5" bestFit="1" customWidth="1"/>
    <col min="1473" max="1473" width="28.83203125" bestFit="1" customWidth="1"/>
    <col min="1474" max="1474" width="30.6640625" bestFit="1" customWidth="1"/>
    <col min="1475" max="1475" width="30.33203125" bestFit="1" customWidth="1"/>
    <col min="1476" max="1476" width="31.5" bestFit="1" customWidth="1"/>
    <col min="1477" max="1477" width="29.5" bestFit="1" customWidth="1"/>
    <col min="1478" max="1478" width="28.83203125" bestFit="1" customWidth="1"/>
    <col min="1479" max="1479" width="30.6640625" bestFit="1" customWidth="1"/>
    <col min="1480" max="1480" width="30.33203125" bestFit="1" customWidth="1"/>
    <col min="1481" max="1481" width="31.5" bestFit="1" customWidth="1"/>
    <col min="1482" max="1482" width="29.5" bestFit="1" customWidth="1"/>
    <col min="1483" max="1483" width="28.83203125" bestFit="1" customWidth="1"/>
    <col min="1484" max="1484" width="30.6640625" bestFit="1" customWidth="1"/>
    <col min="1485" max="1485" width="30.33203125" bestFit="1" customWidth="1"/>
    <col min="1486" max="1486" width="31.5" bestFit="1" customWidth="1"/>
    <col min="1487" max="1487" width="29.5" bestFit="1" customWidth="1"/>
    <col min="1488" max="1488" width="28.83203125" bestFit="1" customWidth="1"/>
    <col min="1489" max="1489" width="30.6640625" bestFit="1" customWidth="1"/>
    <col min="1490" max="1490" width="30.33203125" bestFit="1" customWidth="1"/>
    <col min="1491" max="1491" width="31.5" bestFit="1" customWidth="1"/>
    <col min="1492" max="1492" width="29.5" bestFit="1" customWidth="1"/>
    <col min="1493" max="1493" width="28.83203125" bestFit="1" customWidth="1"/>
    <col min="1494" max="1494" width="30.6640625" bestFit="1" customWidth="1"/>
    <col min="1495" max="1495" width="30.33203125" bestFit="1" customWidth="1"/>
    <col min="1496" max="1496" width="31.5" bestFit="1" customWidth="1"/>
    <col min="1497" max="1497" width="29.5" bestFit="1" customWidth="1"/>
    <col min="1498" max="1498" width="28.83203125" bestFit="1" customWidth="1"/>
    <col min="1499" max="1499" width="30.6640625" bestFit="1" customWidth="1"/>
    <col min="1500" max="1500" width="30.33203125" bestFit="1" customWidth="1"/>
    <col min="1501" max="1501" width="31.5" bestFit="1" customWidth="1"/>
    <col min="1502" max="1502" width="29.5" bestFit="1" customWidth="1"/>
    <col min="1503" max="1503" width="28.83203125" bestFit="1" customWidth="1"/>
    <col min="1504" max="1504" width="30.6640625" bestFit="1" customWidth="1"/>
    <col min="1505" max="1505" width="30.33203125" bestFit="1" customWidth="1"/>
    <col min="1506" max="1506" width="31.5" bestFit="1" customWidth="1"/>
    <col min="1507" max="1507" width="29.5" bestFit="1" customWidth="1"/>
    <col min="1508" max="1508" width="28.83203125" bestFit="1" customWidth="1"/>
    <col min="1509" max="1509" width="30.6640625" bestFit="1" customWidth="1"/>
    <col min="1510" max="1510" width="30.33203125" bestFit="1" customWidth="1"/>
    <col min="1511" max="1511" width="31.5" bestFit="1" customWidth="1"/>
    <col min="1512" max="1512" width="29.5" bestFit="1" customWidth="1"/>
    <col min="1513" max="1513" width="28.83203125" bestFit="1" customWidth="1"/>
    <col min="1514" max="1514" width="30.6640625" bestFit="1" customWidth="1"/>
    <col min="1515" max="1515" width="30.33203125" bestFit="1" customWidth="1"/>
    <col min="1516" max="1516" width="31.5" bestFit="1" customWidth="1"/>
    <col min="1517" max="1517" width="29.5" bestFit="1" customWidth="1"/>
    <col min="1518" max="1518" width="28.83203125" bestFit="1" customWidth="1"/>
    <col min="1519" max="1519" width="30.6640625" bestFit="1" customWidth="1"/>
    <col min="1520" max="1520" width="30.33203125" bestFit="1" customWidth="1"/>
    <col min="1521" max="1521" width="31.5" bestFit="1" customWidth="1"/>
    <col min="1522" max="1522" width="29.5" bestFit="1" customWidth="1"/>
    <col min="1523" max="1523" width="28.83203125" bestFit="1" customWidth="1"/>
    <col min="1524" max="1524" width="30.6640625" bestFit="1" customWidth="1"/>
    <col min="1525" max="1525" width="30.33203125" bestFit="1" customWidth="1"/>
    <col min="1526" max="1526" width="31.5" bestFit="1" customWidth="1"/>
    <col min="1527" max="1527" width="29.5" bestFit="1" customWidth="1"/>
    <col min="1528" max="1528" width="28.83203125" bestFit="1" customWidth="1"/>
    <col min="1529" max="1529" width="30.6640625" bestFit="1" customWidth="1"/>
    <col min="1530" max="1530" width="30.33203125" bestFit="1" customWidth="1"/>
    <col min="1531" max="1531" width="31.5" bestFit="1" customWidth="1"/>
    <col min="1532" max="1532" width="29.5" bestFit="1" customWidth="1"/>
    <col min="1533" max="1533" width="28.83203125" bestFit="1" customWidth="1"/>
    <col min="1534" max="1534" width="30.6640625" bestFit="1" customWidth="1"/>
    <col min="1535" max="1535" width="30.33203125" bestFit="1" customWidth="1"/>
    <col min="1536" max="1536" width="31.5" bestFit="1" customWidth="1"/>
    <col min="1537" max="1537" width="29.5" bestFit="1" customWidth="1"/>
    <col min="1538" max="1538" width="28.83203125" bestFit="1" customWidth="1"/>
    <col min="1539" max="1539" width="30.6640625" bestFit="1" customWidth="1"/>
    <col min="1540" max="1540" width="30.33203125" bestFit="1" customWidth="1"/>
    <col min="1541" max="1541" width="31.5" bestFit="1" customWidth="1"/>
    <col min="1542" max="1542" width="29.5" bestFit="1" customWidth="1"/>
    <col min="1543" max="1543" width="28.83203125" bestFit="1" customWidth="1"/>
    <col min="1544" max="1544" width="30.6640625" bestFit="1" customWidth="1"/>
    <col min="1545" max="1545" width="30.33203125" bestFit="1" customWidth="1"/>
    <col min="1546" max="1546" width="31.5" bestFit="1" customWidth="1"/>
    <col min="1547" max="1547" width="29.5" bestFit="1" customWidth="1"/>
    <col min="1548" max="1548" width="28.83203125" bestFit="1" customWidth="1"/>
    <col min="1549" max="1549" width="30.6640625" bestFit="1" customWidth="1"/>
    <col min="1550" max="1550" width="30.33203125" bestFit="1" customWidth="1"/>
    <col min="1551" max="1551" width="31.5" bestFit="1" customWidth="1"/>
    <col min="1552" max="1552" width="29.5" bestFit="1" customWidth="1"/>
    <col min="1553" max="1553" width="28.83203125" bestFit="1" customWidth="1"/>
    <col min="1554" max="1554" width="30.6640625" bestFit="1" customWidth="1"/>
    <col min="1555" max="1555" width="30.33203125" bestFit="1" customWidth="1"/>
    <col min="1556" max="1556" width="31.5" bestFit="1" customWidth="1"/>
    <col min="1557" max="1557" width="29.5" bestFit="1" customWidth="1"/>
    <col min="1558" max="1558" width="28.83203125" bestFit="1" customWidth="1"/>
    <col min="1559" max="1559" width="30.6640625" bestFit="1" customWidth="1"/>
    <col min="1560" max="1560" width="30.33203125" bestFit="1" customWidth="1"/>
    <col min="1561" max="1561" width="31.5" bestFit="1" customWidth="1"/>
    <col min="1562" max="1562" width="29.5" bestFit="1" customWidth="1"/>
    <col min="1563" max="1563" width="28.83203125" bestFit="1" customWidth="1"/>
    <col min="1564" max="1564" width="30.6640625" bestFit="1" customWidth="1"/>
    <col min="1565" max="1565" width="30.33203125" bestFit="1" customWidth="1"/>
    <col min="1566" max="1566" width="31.5" bestFit="1" customWidth="1"/>
    <col min="1567" max="1567" width="29.5" bestFit="1" customWidth="1"/>
    <col min="1568" max="1568" width="28.83203125" bestFit="1" customWidth="1"/>
    <col min="1569" max="1569" width="30.6640625" bestFit="1" customWidth="1"/>
    <col min="1570" max="1570" width="30.33203125" bestFit="1" customWidth="1"/>
    <col min="1571" max="1571" width="31.5" bestFit="1" customWidth="1"/>
    <col min="1572" max="1572" width="29.5" bestFit="1" customWidth="1"/>
    <col min="1573" max="1573" width="28.83203125" bestFit="1" customWidth="1"/>
    <col min="1574" max="1574" width="30.6640625" bestFit="1" customWidth="1"/>
    <col min="1575" max="1575" width="30.33203125" bestFit="1" customWidth="1"/>
    <col min="1576" max="1576" width="31.5" bestFit="1" customWidth="1"/>
    <col min="1577" max="1577" width="29.5" bestFit="1" customWidth="1"/>
    <col min="1578" max="1578" width="28.83203125" bestFit="1" customWidth="1"/>
    <col min="1579" max="1579" width="30.6640625" bestFit="1" customWidth="1"/>
    <col min="1580" max="1580" width="30.33203125" bestFit="1" customWidth="1"/>
    <col min="1581" max="1581" width="31.5" bestFit="1" customWidth="1"/>
    <col min="1582" max="1582" width="29.5" bestFit="1" customWidth="1"/>
    <col min="1583" max="1583" width="28.83203125" bestFit="1" customWidth="1"/>
    <col min="1584" max="1584" width="30.6640625" bestFit="1" customWidth="1"/>
    <col min="1585" max="1585" width="30.33203125" bestFit="1" customWidth="1"/>
    <col min="1586" max="1586" width="31.5" bestFit="1" customWidth="1"/>
    <col min="1587" max="1587" width="29.5" bestFit="1" customWidth="1"/>
    <col min="1588" max="1588" width="28.83203125" bestFit="1" customWidth="1"/>
    <col min="1589" max="1589" width="30.6640625" bestFit="1" customWidth="1"/>
    <col min="1590" max="1590" width="30.33203125" bestFit="1" customWidth="1"/>
    <col min="1591" max="1591" width="31.5" bestFit="1" customWidth="1"/>
    <col min="1592" max="1592" width="29.5" bestFit="1" customWidth="1"/>
    <col min="1593" max="1593" width="28.83203125" bestFit="1" customWidth="1"/>
    <col min="1594" max="1594" width="30.6640625" bestFit="1" customWidth="1"/>
    <col min="1595" max="1595" width="30.33203125" bestFit="1" customWidth="1"/>
    <col min="1596" max="1596" width="31.5" bestFit="1" customWidth="1"/>
    <col min="1597" max="1597" width="29.5" bestFit="1" customWidth="1"/>
    <col min="1598" max="1598" width="28.83203125" bestFit="1" customWidth="1"/>
    <col min="1599" max="1599" width="30.6640625" bestFit="1" customWidth="1"/>
    <col min="1600" max="1600" width="30.33203125" bestFit="1" customWidth="1"/>
    <col min="1601" max="1601" width="31.5" bestFit="1" customWidth="1"/>
    <col min="1602" max="1602" width="29.5" bestFit="1" customWidth="1"/>
    <col min="1603" max="1603" width="28.83203125" bestFit="1" customWidth="1"/>
    <col min="1604" max="1604" width="30.6640625" bestFit="1" customWidth="1"/>
    <col min="1605" max="1605" width="30.33203125" bestFit="1" customWidth="1"/>
    <col min="1606" max="1606" width="31.5" bestFit="1" customWidth="1"/>
    <col min="1607" max="1607" width="29.5" bestFit="1" customWidth="1"/>
    <col min="1608" max="1608" width="28.83203125" bestFit="1" customWidth="1"/>
    <col min="1609" max="1609" width="30.6640625" bestFit="1" customWidth="1"/>
    <col min="1610" max="1610" width="30.33203125" bestFit="1" customWidth="1"/>
    <col min="1611" max="1611" width="31.5" bestFit="1" customWidth="1"/>
    <col min="1612" max="1612" width="29.5" bestFit="1" customWidth="1"/>
    <col min="1613" max="1613" width="28.83203125" bestFit="1" customWidth="1"/>
    <col min="1614" max="1614" width="30.6640625" bestFit="1" customWidth="1"/>
    <col min="1615" max="1615" width="30.33203125" bestFit="1" customWidth="1"/>
    <col min="1616" max="1616" width="31.5" bestFit="1" customWidth="1"/>
    <col min="1617" max="1617" width="29.5" bestFit="1" customWidth="1"/>
    <col min="1618" max="1618" width="28.83203125" bestFit="1" customWidth="1"/>
    <col min="1619" max="1619" width="30.6640625" bestFit="1" customWidth="1"/>
    <col min="1620" max="1620" width="30.33203125" bestFit="1" customWidth="1"/>
    <col min="1621" max="1621" width="31.5" bestFit="1" customWidth="1"/>
    <col min="1622" max="1622" width="29.5" bestFit="1" customWidth="1"/>
    <col min="1623" max="1623" width="28.83203125" bestFit="1" customWidth="1"/>
    <col min="1624" max="1624" width="30.6640625" bestFit="1" customWidth="1"/>
    <col min="1625" max="1625" width="30.33203125" bestFit="1" customWidth="1"/>
    <col min="1626" max="1626" width="31.5" bestFit="1" customWidth="1"/>
    <col min="1627" max="1627" width="29.5" bestFit="1" customWidth="1"/>
    <col min="1628" max="1628" width="28.83203125" bestFit="1" customWidth="1"/>
    <col min="1629" max="1629" width="30.6640625" bestFit="1" customWidth="1"/>
    <col min="1630" max="1630" width="30.33203125" bestFit="1" customWidth="1"/>
    <col min="1631" max="1631" width="31.5" bestFit="1" customWidth="1"/>
    <col min="1632" max="1632" width="29.5" bestFit="1" customWidth="1"/>
    <col min="1633" max="1633" width="28.83203125" bestFit="1" customWidth="1"/>
    <col min="1634" max="1634" width="30.6640625" bestFit="1" customWidth="1"/>
    <col min="1635" max="1635" width="30.33203125" bestFit="1" customWidth="1"/>
    <col min="1636" max="1636" width="31.5" bestFit="1" customWidth="1"/>
    <col min="1637" max="1637" width="29.5" bestFit="1" customWidth="1"/>
    <col min="1638" max="1638" width="28.83203125" bestFit="1" customWidth="1"/>
    <col min="1639" max="1639" width="30.6640625" bestFit="1" customWidth="1"/>
    <col min="1640" max="1640" width="30.33203125" bestFit="1" customWidth="1"/>
    <col min="1641" max="1641" width="31.5" bestFit="1" customWidth="1"/>
    <col min="1642" max="1642" width="29.5" bestFit="1" customWidth="1"/>
    <col min="1643" max="1643" width="28.83203125" bestFit="1" customWidth="1"/>
    <col min="1644" max="1644" width="30.6640625" bestFit="1" customWidth="1"/>
    <col min="1645" max="1645" width="30.33203125" bestFit="1" customWidth="1"/>
    <col min="1646" max="1646" width="31.5" bestFit="1" customWidth="1"/>
    <col min="1647" max="1647" width="29.5" bestFit="1" customWidth="1"/>
    <col min="1648" max="1648" width="28.83203125" bestFit="1" customWidth="1"/>
    <col min="1649" max="1649" width="30.6640625" bestFit="1" customWidth="1"/>
    <col min="1650" max="1650" width="30.33203125" bestFit="1" customWidth="1"/>
    <col min="1651" max="1651" width="31.5" bestFit="1" customWidth="1"/>
    <col min="1652" max="1652" width="29.5" bestFit="1" customWidth="1"/>
    <col min="1653" max="1653" width="28.83203125" bestFit="1" customWidth="1"/>
    <col min="1654" max="1654" width="30.6640625" bestFit="1" customWidth="1"/>
    <col min="1655" max="1655" width="30.33203125" bestFit="1" customWidth="1"/>
    <col min="1656" max="1656" width="31.5" bestFit="1" customWidth="1"/>
    <col min="1657" max="1657" width="29.5" bestFit="1" customWidth="1"/>
    <col min="1658" max="1658" width="28.83203125" bestFit="1" customWidth="1"/>
    <col min="1659" max="1659" width="30.6640625" bestFit="1" customWidth="1"/>
    <col min="1660" max="1660" width="30.33203125" bestFit="1" customWidth="1"/>
    <col min="1661" max="1661" width="31.5" bestFit="1" customWidth="1"/>
    <col min="1662" max="1662" width="29.5" bestFit="1" customWidth="1"/>
    <col min="1663" max="1663" width="28.83203125" bestFit="1" customWidth="1"/>
    <col min="1664" max="1664" width="30.6640625" bestFit="1" customWidth="1"/>
    <col min="1665" max="1665" width="30.33203125" bestFit="1" customWidth="1"/>
    <col min="1666" max="1666" width="31.5" bestFit="1" customWidth="1"/>
    <col min="1667" max="1667" width="29.5" bestFit="1" customWidth="1"/>
    <col min="1668" max="1668" width="28.83203125" bestFit="1" customWidth="1"/>
    <col min="1669" max="1669" width="30.6640625" bestFit="1" customWidth="1"/>
    <col min="1670" max="1670" width="30.33203125" bestFit="1" customWidth="1"/>
    <col min="1671" max="1671" width="31.5" bestFit="1" customWidth="1"/>
    <col min="1672" max="1672" width="29.5" bestFit="1" customWidth="1"/>
    <col min="1673" max="1673" width="28.83203125" bestFit="1" customWidth="1"/>
    <col min="1674" max="1674" width="30.6640625" bestFit="1" customWidth="1"/>
    <col min="1675" max="1675" width="30.33203125" bestFit="1" customWidth="1"/>
    <col min="1676" max="1676" width="31.5" bestFit="1" customWidth="1"/>
    <col min="1677" max="1677" width="29.5" bestFit="1" customWidth="1"/>
    <col min="1678" max="1678" width="28.83203125" bestFit="1" customWidth="1"/>
    <col min="1679" max="1679" width="30.6640625" bestFit="1" customWidth="1"/>
    <col min="1680" max="1680" width="30.33203125" bestFit="1" customWidth="1"/>
    <col min="1681" max="1681" width="31.5" bestFit="1" customWidth="1"/>
    <col min="1682" max="1682" width="29.5" bestFit="1" customWidth="1"/>
    <col min="1683" max="1683" width="28.83203125" bestFit="1" customWidth="1"/>
    <col min="1684" max="1684" width="30.6640625" bestFit="1" customWidth="1"/>
    <col min="1685" max="1685" width="30.33203125" bestFit="1" customWidth="1"/>
    <col min="1686" max="1686" width="31.5" bestFit="1" customWidth="1"/>
    <col min="1687" max="1687" width="29.5" bestFit="1" customWidth="1"/>
    <col min="1688" max="1688" width="28.83203125" bestFit="1" customWidth="1"/>
    <col min="1689" max="1689" width="30.6640625" bestFit="1" customWidth="1"/>
    <col min="1690" max="1690" width="30.33203125" bestFit="1" customWidth="1"/>
    <col min="1691" max="1691" width="31.5" bestFit="1" customWidth="1"/>
    <col min="1692" max="1692" width="29.5" bestFit="1" customWidth="1"/>
    <col min="1693" max="1693" width="28.83203125" bestFit="1" customWidth="1"/>
    <col min="1694" max="1694" width="30.6640625" bestFit="1" customWidth="1"/>
    <col min="1695" max="1695" width="30.33203125" bestFit="1" customWidth="1"/>
    <col min="1696" max="1696" width="31.5" bestFit="1" customWidth="1"/>
    <col min="1697" max="1697" width="29.5" bestFit="1" customWidth="1"/>
    <col min="1698" max="1698" width="28.83203125" bestFit="1" customWidth="1"/>
    <col min="1699" max="1699" width="30.6640625" bestFit="1" customWidth="1"/>
    <col min="1700" max="1700" width="30.33203125" bestFit="1" customWidth="1"/>
    <col min="1701" max="1701" width="31.5" bestFit="1" customWidth="1"/>
    <col min="1702" max="1702" width="29.5" bestFit="1" customWidth="1"/>
    <col min="1703" max="1703" width="28.83203125" bestFit="1" customWidth="1"/>
    <col min="1704" max="1704" width="30.6640625" bestFit="1" customWidth="1"/>
    <col min="1705" max="1705" width="30.33203125" bestFit="1" customWidth="1"/>
    <col min="1706" max="1706" width="31.5" bestFit="1" customWidth="1"/>
    <col min="1707" max="1707" width="29.5" bestFit="1" customWidth="1"/>
    <col min="1708" max="1708" width="28.83203125" bestFit="1" customWidth="1"/>
    <col min="1709" max="1709" width="30.6640625" bestFit="1" customWidth="1"/>
    <col min="1710" max="1710" width="30.33203125" bestFit="1" customWidth="1"/>
    <col min="1711" max="1711" width="31.5" bestFit="1" customWidth="1"/>
    <col min="1712" max="1712" width="29.5" bestFit="1" customWidth="1"/>
    <col min="1713" max="1713" width="28.83203125" bestFit="1" customWidth="1"/>
    <col min="1714" max="1714" width="30.6640625" bestFit="1" customWidth="1"/>
    <col min="1715" max="1715" width="30.33203125" bestFit="1" customWidth="1"/>
    <col min="1716" max="1716" width="31.5" bestFit="1" customWidth="1"/>
    <col min="1717" max="1717" width="29.5" bestFit="1" customWidth="1"/>
    <col min="1718" max="1718" width="28.83203125" bestFit="1" customWidth="1"/>
    <col min="1719" max="1719" width="30.6640625" bestFit="1" customWidth="1"/>
    <col min="1720" max="1720" width="30.33203125" bestFit="1" customWidth="1"/>
    <col min="1721" max="1721" width="31.5" bestFit="1" customWidth="1"/>
    <col min="1722" max="1722" width="29.5" bestFit="1" customWidth="1"/>
    <col min="1723" max="1723" width="28.83203125" bestFit="1" customWidth="1"/>
    <col min="1724" max="1724" width="30.6640625" bestFit="1" customWidth="1"/>
    <col min="1725" max="1725" width="30.33203125" bestFit="1" customWidth="1"/>
    <col min="1726" max="1726" width="31.5" bestFit="1" customWidth="1"/>
    <col min="1727" max="1727" width="29.5" bestFit="1" customWidth="1"/>
    <col min="1728" max="1728" width="28.83203125" bestFit="1" customWidth="1"/>
    <col min="1729" max="1729" width="30.6640625" bestFit="1" customWidth="1"/>
    <col min="1730" max="1730" width="30.33203125" bestFit="1" customWidth="1"/>
    <col min="1731" max="1731" width="31.5" bestFit="1" customWidth="1"/>
    <col min="1732" max="1732" width="29.5" bestFit="1" customWidth="1"/>
    <col min="1733" max="1733" width="28.83203125" bestFit="1" customWidth="1"/>
    <col min="1734" max="1734" width="30.6640625" bestFit="1" customWidth="1"/>
    <col min="1735" max="1735" width="30.33203125" bestFit="1" customWidth="1"/>
    <col min="1736" max="1736" width="31.5" bestFit="1" customWidth="1"/>
    <col min="1737" max="1737" width="29.5" bestFit="1" customWidth="1"/>
    <col min="1738" max="1738" width="28.83203125" bestFit="1" customWidth="1"/>
    <col min="1739" max="1739" width="30.6640625" bestFit="1" customWidth="1"/>
    <col min="1740" max="1740" width="30.33203125" bestFit="1" customWidth="1"/>
    <col min="1741" max="1741" width="31.5" bestFit="1" customWidth="1"/>
    <col min="1742" max="1742" width="29.5" bestFit="1" customWidth="1"/>
    <col min="1743" max="1743" width="28.83203125" bestFit="1" customWidth="1"/>
    <col min="1744" max="1744" width="30.6640625" bestFit="1" customWidth="1"/>
    <col min="1745" max="1745" width="30.33203125" bestFit="1" customWidth="1"/>
    <col min="1746" max="1746" width="31.5" bestFit="1" customWidth="1"/>
    <col min="1747" max="1747" width="29.5" bestFit="1" customWidth="1"/>
    <col min="1748" max="1748" width="28.83203125" bestFit="1" customWidth="1"/>
    <col min="1749" max="1749" width="30.6640625" bestFit="1" customWidth="1"/>
    <col min="1750" max="1750" width="30.33203125" bestFit="1" customWidth="1"/>
    <col min="1751" max="1751" width="31.5" bestFit="1" customWidth="1"/>
    <col min="1752" max="1752" width="29.5" bestFit="1" customWidth="1"/>
    <col min="1753" max="1753" width="28.83203125" bestFit="1" customWidth="1"/>
    <col min="1754" max="1754" width="30.6640625" bestFit="1" customWidth="1"/>
    <col min="1755" max="1755" width="30.33203125" bestFit="1" customWidth="1"/>
    <col min="1756" max="1756" width="31.5" bestFit="1" customWidth="1"/>
    <col min="1757" max="1757" width="29.5" bestFit="1" customWidth="1"/>
    <col min="1758" max="1758" width="28.83203125" bestFit="1" customWidth="1"/>
    <col min="1759" max="1759" width="30.6640625" bestFit="1" customWidth="1"/>
    <col min="1760" max="1760" width="30.33203125" bestFit="1" customWidth="1"/>
    <col min="1761" max="1761" width="31.5" bestFit="1" customWidth="1"/>
    <col min="1762" max="1762" width="29.5" bestFit="1" customWidth="1"/>
    <col min="1763" max="1763" width="28.83203125" bestFit="1" customWidth="1"/>
    <col min="1764" max="1764" width="30.6640625" bestFit="1" customWidth="1"/>
    <col min="1765" max="1765" width="30.33203125" bestFit="1" customWidth="1"/>
    <col min="1766" max="1766" width="31.5" bestFit="1" customWidth="1"/>
    <col min="1767" max="1767" width="29.5" bestFit="1" customWidth="1"/>
    <col min="1768" max="1768" width="28.83203125" bestFit="1" customWidth="1"/>
    <col min="1769" max="1769" width="30.6640625" bestFit="1" customWidth="1"/>
    <col min="1770" max="1770" width="30.33203125" bestFit="1" customWidth="1"/>
    <col min="1771" max="1771" width="31.5" bestFit="1" customWidth="1"/>
    <col min="1772" max="1772" width="29.5" bestFit="1" customWidth="1"/>
    <col min="1773" max="1773" width="28.83203125" bestFit="1" customWidth="1"/>
    <col min="1774" max="1774" width="30.6640625" bestFit="1" customWidth="1"/>
    <col min="1775" max="1775" width="30.33203125" bestFit="1" customWidth="1"/>
    <col min="1776" max="1776" width="31.5" bestFit="1" customWidth="1"/>
    <col min="1777" max="1777" width="29.5" bestFit="1" customWidth="1"/>
    <col min="1778" max="1778" width="28.83203125" bestFit="1" customWidth="1"/>
    <col min="1779" max="1779" width="30.6640625" bestFit="1" customWidth="1"/>
    <col min="1780" max="1780" width="30.33203125" bestFit="1" customWidth="1"/>
    <col min="1781" max="1781" width="31.5" bestFit="1" customWidth="1"/>
    <col min="1782" max="1782" width="29.5" bestFit="1" customWidth="1"/>
    <col min="1783" max="1783" width="28.83203125" bestFit="1" customWidth="1"/>
    <col min="1784" max="1784" width="30.6640625" bestFit="1" customWidth="1"/>
    <col min="1785" max="1785" width="30.33203125" bestFit="1" customWidth="1"/>
    <col min="1786" max="1786" width="31.5" bestFit="1" customWidth="1"/>
    <col min="1787" max="1787" width="29.5" bestFit="1" customWidth="1"/>
    <col min="1788" max="1788" width="28.83203125" bestFit="1" customWidth="1"/>
    <col min="1789" max="1789" width="30.6640625" bestFit="1" customWidth="1"/>
    <col min="1790" max="1790" width="30.33203125" bestFit="1" customWidth="1"/>
    <col min="1791" max="1791" width="31.5" bestFit="1" customWidth="1"/>
    <col min="1792" max="1792" width="29.5" bestFit="1" customWidth="1"/>
    <col min="1793" max="1793" width="28.83203125" bestFit="1" customWidth="1"/>
    <col min="1794" max="1794" width="30.6640625" bestFit="1" customWidth="1"/>
    <col min="1795" max="1795" width="30.33203125" bestFit="1" customWidth="1"/>
    <col min="1796" max="1796" width="31.5" bestFit="1" customWidth="1"/>
    <col min="1797" max="1797" width="29.5" bestFit="1" customWidth="1"/>
    <col min="1798" max="1798" width="28.83203125" bestFit="1" customWidth="1"/>
    <col min="1799" max="1799" width="30.6640625" bestFit="1" customWidth="1"/>
    <col min="1800" max="1800" width="30.33203125" bestFit="1" customWidth="1"/>
    <col min="1801" max="1801" width="31.5" bestFit="1" customWidth="1"/>
    <col min="1802" max="1802" width="29.5" bestFit="1" customWidth="1"/>
    <col min="1803" max="1803" width="28.83203125" bestFit="1" customWidth="1"/>
    <col min="1804" max="1804" width="30.6640625" bestFit="1" customWidth="1"/>
    <col min="1805" max="1805" width="30.33203125" bestFit="1" customWidth="1"/>
    <col min="1806" max="1806" width="31.5" bestFit="1" customWidth="1"/>
    <col min="1807" max="1807" width="29.5" bestFit="1" customWidth="1"/>
    <col min="1808" max="1808" width="28.83203125" bestFit="1" customWidth="1"/>
    <col min="1809" max="1809" width="30.6640625" bestFit="1" customWidth="1"/>
    <col min="1810" max="1810" width="30.33203125" bestFit="1" customWidth="1"/>
    <col min="1811" max="1811" width="31.5" bestFit="1" customWidth="1"/>
    <col min="1812" max="1812" width="29.5" bestFit="1" customWidth="1"/>
    <col min="1813" max="1813" width="28.83203125" bestFit="1" customWidth="1"/>
    <col min="1814" max="1814" width="30.6640625" bestFit="1" customWidth="1"/>
    <col min="1815" max="1815" width="30.33203125" bestFit="1" customWidth="1"/>
    <col min="1816" max="1816" width="31.5" bestFit="1" customWidth="1"/>
    <col min="1817" max="1817" width="29.5" bestFit="1" customWidth="1"/>
    <col min="1818" max="1818" width="28.83203125" bestFit="1" customWidth="1"/>
    <col min="1819" max="1819" width="30.6640625" bestFit="1" customWidth="1"/>
    <col min="1820" max="1820" width="30.33203125" bestFit="1" customWidth="1"/>
    <col min="1821" max="1821" width="31.5" bestFit="1" customWidth="1"/>
    <col min="1822" max="1822" width="29.5" bestFit="1" customWidth="1"/>
    <col min="1823" max="1823" width="28.83203125" bestFit="1" customWidth="1"/>
    <col min="1824" max="1824" width="30.6640625" bestFit="1" customWidth="1"/>
    <col min="1825" max="1825" width="30.33203125" bestFit="1" customWidth="1"/>
    <col min="1826" max="1826" width="31.5" bestFit="1" customWidth="1"/>
    <col min="1827" max="1827" width="29.5" bestFit="1" customWidth="1"/>
    <col min="1828" max="1828" width="28.83203125" bestFit="1" customWidth="1"/>
    <col min="1829" max="1829" width="30.6640625" bestFit="1" customWidth="1"/>
    <col min="1830" max="1830" width="30.33203125" bestFit="1" customWidth="1"/>
    <col min="1831" max="1831" width="31.5" bestFit="1" customWidth="1"/>
    <col min="1832" max="1832" width="29.5" bestFit="1" customWidth="1"/>
    <col min="1833" max="1833" width="28.83203125" bestFit="1" customWidth="1"/>
    <col min="1834" max="1834" width="30.6640625" bestFit="1" customWidth="1"/>
    <col min="1835" max="1835" width="30.33203125" bestFit="1" customWidth="1"/>
    <col min="1836" max="1836" width="31.5" bestFit="1" customWidth="1"/>
    <col min="1837" max="1837" width="29.5" bestFit="1" customWidth="1"/>
    <col min="1838" max="1838" width="28.83203125" bestFit="1" customWidth="1"/>
    <col min="1839" max="1839" width="30.6640625" bestFit="1" customWidth="1"/>
    <col min="1840" max="1840" width="30.33203125" bestFit="1" customWidth="1"/>
    <col min="1841" max="1841" width="31.5" bestFit="1" customWidth="1"/>
    <col min="1842" max="1842" width="29.5" bestFit="1" customWidth="1"/>
    <col min="1843" max="1843" width="28.83203125" bestFit="1" customWidth="1"/>
    <col min="1844" max="1844" width="30.6640625" bestFit="1" customWidth="1"/>
    <col min="1845" max="1845" width="30.33203125" bestFit="1" customWidth="1"/>
    <col min="1846" max="1846" width="31.5" bestFit="1" customWidth="1"/>
    <col min="1847" max="1847" width="29.5" bestFit="1" customWidth="1"/>
    <col min="1848" max="1848" width="28.83203125" bestFit="1" customWidth="1"/>
    <col min="1849" max="1849" width="30.6640625" bestFit="1" customWidth="1"/>
    <col min="1850" max="1850" width="30.33203125" bestFit="1" customWidth="1"/>
    <col min="1851" max="1851" width="31.5" bestFit="1" customWidth="1"/>
    <col min="1852" max="1852" width="29.5" bestFit="1" customWidth="1"/>
    <col min="1853" max="1853" width="28.83203125" bestFit="1" customWidth="1"/>
    <col min="1854" max="1854" width="30.6640625" bestFit="1" customWidth="1"/>
    <col min="1855" max="1855" width="30.33203125" bestFit="1" customWidth="1"/>
    <col min="1856" max="1856" width="31.5" bestFit="1" customWidth="1"/>
    <col min="1857" max="1857" width="29.5" bestFit="1" customWidth="1"/>
    <col min="1858" max="1858" width="28.83203125" bestFit="1" customWidth="1"/>
    <col min="1859" max="1859" width="30.6640625" bestFit="1" customWidth="1"/>
    <col min="1860" max="1860" width="30.33203125" bestFit="1" customWidth="1"/>
    <col min="1861" max="1861" width="31.5" bestFit="1" customWidth="1"/>
    <col min="1862" max="1862" width="29.5" bestFit="1" customWidth="1"/>
    <col min="1863" max="1863" width="28.83203125" bestFit="1" customWidth="1"/>
    <col min="1864" max="1864" width="30.6640625" bestFit="1" customWidth="1"/>
    <col min="1865" max="1865" width="30.33203125" bestFit="1" customWidth="1"/>
    <col min="1866" max="1866" width="31.5" bestFit="1" customWidth="1"/>
    <col min="1867" max="1867" width="29.5" bestFit="1" customWidth="1"/>
    <col min="1868" max="1868" width="28.83203125" bestFit="1" customWidth="1"/>
    <col min="1869" max="1869" width="30.6640625" bestFit="1" customWidth="1"/>
    <col min="1870" max="1870" width="30.33203125" bestFit="1" customWidth="1"/>
    <col min="1871" max="1871" width="31.5" bestFit="1" customWidth="1"/>
    <col min="1872" max="1872" width="29.5" bestFit="1" customWidth="1"/>
    <col min="1873" max="1873" width="28.83203125" bestFit="1" customWidth="1"/>
    <col min="1874" max="1874" width="30.6640625" bestFit="1" customWidth="1"/>
    <col min="1875" max="1875" width="30.33203125" bestFit="1" customWidth="1"/>
    <col min="1876" max="1876" width="31.5" bestFit="1" customWidth="1"/>
    <col min="1877" max="1877" width="29.5" bestFit="1" customWidth="1"/>
    <col min="1878" max="1878" width="28.83203125" bestFit="1" customWidth="1"/>
    <col min="1879" max="1879" width="30.6640625" bestFit="1" customWidth="1"/>
    <col min="1880" max="1880" width="30.33203125" bestFit="1" customWidth="1"/>
    <col min="1881" max="1881" width="31.5" bestFit="1" customWidth="1"/>
    <col min="1882" max="1882" width="29.5" bestFit="1" customWidth="1"/>
    <col min="1883" max="1883" width="28.83203125" bestFit="1" customWidth="1"/>
    <col min="1884" max="1884" width="30.6640625" bestFit="1" customWidth="1"/>
    <col min="1885" max="1885" width="30.33203125" bestFit="1" customWidth="1"/>
    <col min="1886" max="1886" width="31.5" bestFit="1" customWidth="1"/>
    <col min="1887" max="1887" width="29.5" bestFit="1" customWidth="1"/>
    <col min="1888" max="1888" width="28.83203125" bestFit="1" customWidth="1"/>
    <col min="1889" max="1889" width="30.6640625" bestFit="1" customWidth="1"/>
    <col min="1890" max="1890" width="30.33203125" bestFit="1" customWidth="1"/>
    <col min="1891" max="1891" width="31.5" bestFit="1" customWidth="1"/>
    <col min="1892" max="1892" width="29.5" bestFit="1" customWidth="1"/>
    <col min="1893" max="1893" width="28.83203125" bestFit="1" customWidth="1"/>
    <col min="1894" max="1894" width="30.6640625" bestFit="1" customWidth="1"/>
    <col min="1895" max="1895" width="30.33203125" bestFit="1" customWidth="1"/>
    <col min="1896" max="1896" width="31.5" bestFit="1" customWidth="1"/>
    <col min="1897" max="1897" width="29.5" bestFit="1" customWidth="1"/>
    <col min="1898" max="1898" width="28.83203125" bestFit="1" customWidth="1"/>
    <col min="1899" max="1899" width="30.6640625" bestFit="1" customWidth="1"/>
    <col min="1900" max="1900" width="30.33203125" bestFit="1" customWidth="1"/>
    <col min="1901" max="1901" width="31.5" bestFit="1" customWidth="1"/>
    <col min="1902" max="1902" width="29.5" bestFit="1" customWidth="1"/>
    <col min="1903" max="1903" width="28.83203125" bestFit="1" customWidth="1"/>
    <col min="1904" max="1904" width="30.6640625" bestFit="1" customWidth="1"/>
    <col min="1905" max="1905" width="30.33203125" bestFit="1" customWidth="1"/>
    <col min="1906" max="1906" width="31.5" bestFit="1" customWidth="1"/>
    <col min="1907" max="1907" width="29.5" bestFit="1" customWidth="1"/>
    <col min="1908" max="1908" width="28.83203125" bestFit="1" customWidth="1"/>
    <col min="1909" max="1909" width="30.6640625" bestFit="1" customWidth="1"/>
    <col min="1910" max="1910" width="30.33203125" bestFit="1" customWidth="1"/>
    <col min="1911" max="1911" width="31.5" bestFit="1" customWidth="1"/>
    <col min="1912" max="1912" width="29.5" bestFit="1" customWidth="1"/>
    <col min="1913" max="1913" width="28.83203125" bestFit="1" customWidth="1"/>
    <col min="1914" max="1914" width="30.6640625" bestFit="1" customWidth="1"/>
    <col min="1915" max="1915" width="30.33203125" bestFit="1" customWidth="1"/>
    <col min="1916" max="1916" width="31.5" bestFit="1" customWidth="1"/>
    <col min="1917" max="1917" width="29.5" bestFit="1" customWidth="1"/>
    <col min="1918" max="1918" width="28.83203125" bestFit="1" customWidth="1"/>
    <col min="1919" max="1919" width="30.6640625" bestFit="1" customWidth="1"/>
    <col min="1920" max="1920" width="30.33203125" bestFit="1" customWidth="1"/>
    <col min="1921" max="1921" width="31.5" bestFit="1" customWidth="1"/>
    <col min="1922" max="1922" width="29.5" bestFit="1" customWidth="1"/>
    <col min="1923" max="1923" width="28.83203125" bestFit="1" customWidth="1"/>
    <col min="1924" max="1924" width="30.6640625" bestFit="1" customWidth="1"/>
    <col min="1925" max="1925" width="30.33203125" bestFit="1" customWidth="1"/>
    <col min="1926" max="1926" width="31.5" bestFit="1" customWidth="1"/>
    <col min="1927" max="1927" width="29.5" bestFit="1" customWidth="1"/>
    <col min="1928" max="1928" width="28.83203125" bestFit="1" customWidth="1"/>
    <col min="1929" max="1929" width="30.6640625" bestFit="1" customWidth="1"/>
    <col min="1930" max="1930" width="30.33203125" bestFit="1" customWidth="1"/>
    <col min="1931" max="1931" width="31.5" bestFit="1" customWidth="1"/>
    <col min="1932" max="1932" width="29.5" bestFit="1" customWidth="1"/>
    <col min="1933" max="1933" width="28.83203125" bestFit="1" customWidth="1"/>
    <col min="1934" max="1934" width="30.6640625" bestFit="1" customWidth="1"/>
    <col min="1935" max="1935" width="30.33203125" bestFit="1" customWidth="1"/>
    <col min="1936" max="1936" width="31.5" bestFit="1" customWidth="1"/>
    <col min="1937" max="1937" width="29.5" bestFit="1" customWidth="1"/>
    <col min="1938" max="1938" width="28.83203125" bestFit="1" customWidth="1"/>
    <col min="1939" max="1939" width="30.6640625" bestFit="1" customWidth="1"/>
    <col min="1940" max="1940" width="30.33203125" bestFit="1" customWidth="1"/>
    <col min="1941" max="1941" width="31.5" bestFit="1" customWidth="1"/>
    <col min="1942" max="1942" width="29.5" bestFit="1" customWidth="1"/>
    <col min="1943" max="1943" width="28.83203125" bestFit="1" customWidth="1"/>
    <col min="1944" max="1944" width="30.6640625" bestFit="1" customWidth="1"/>
    <col min="1945" max="1945" width="30.33203125" bestFit="1" customWidth="1"/>
    <col min="1946" max="1946" width="31.5" bestFit="1" customWidth="1"/>
    <col min="1947" max="1947" width="29.5" bestFit="1" customWidth="1"/>
    <col min="1948" max="1948" width="28.83203125" bestFit="1" customWidth="1"/>
    <col min="1949" max="1949" width="30.6640625" bestFit="1" customWidth="1"/>
    <col min="1950" max="1950" width="30.33203125" bestFit="1" customWidth="1"/>
    <col min="1951" max="1951" width="31.5" bestFit="1" customWidth="1"/>
    <col min="1952" max="1952" width="29.5" bestFit="1" customWidth="1"/>
    <col min="1953" max="1953" width="28.83203125" bestFit="1" customWidth="1"/>
    <col min="1954" max="1954" width="30.6640625" bestFit="1" customWidth="1"/>
    <col min="1955" max="1955" width="30.33203125" bestFit="1" customWidth="1"/>
    <col min="1956" max="1956" width="31.5" bestFit="1" customWidth="1"/>
    <col min="1957" max="1957" width="29.5" bestFit="1" customWidth="1"/>
    <col min="1958" max="1958" width="28.83203125" bestFit="1" customWidth="1"/>
    <col min="1959" max="1959" width="30.6640625" bestFit="1" customWidth="1"/>
    <col min="1960" max="1960" width="30.33203125" bestFit="1" customWidth="1"/>
    <col min="1961" max="1961" width="31.5" bestFit="1" customWidth="1"/>
    <col min="1962" max="1962" width="29.5" bestFit="1" customWidth="1"/>
    <col min="1963" max="1963" width="28.83203125" bestFit="1" customWidth="1"/>
    <col min="1964" max="1964" width="30.6640625" bestFit="1" customWidth="1"/>
    <col min="1965" max="1965" width="30.33203125" bestFit="1" customWidth="1"/>
    <col min="1966" max="1966" width="31.5" bestFit="1" customWidth="1"/>
    <col min="1967" max="1967" width="29.5" bestFit="1" customWidth="1"/>
    <col min="1968" max="1968" width="28.83203125" bestFit="1" customWidth="1"/>
    <col min="1969" max="1969" width="30.6640625" bestFit="1" customWidth="1"/>
    <col min="1970" max="1970" width="30.33203125" bestFit="1" customWidth="1"/>
    <col min="1971" max="1971" width="31.5" bestFit="1" customWidth="1"/>
    <col min="1972" max="1972" width="29.5" bestFit="1" customWidth="1"/>
    <col min="1973" max="1973" width="28.83203125" bestFit="1" customWidth="1"/>
    <col min="1974" max="1974" width="30.6640625" bestFit="1" customWidth="1"/>
    <col min="1975" max="1975" width="30.33203125" bestFit="1" customWidth="1"/>
    <col min="1976" max="1976" width="31.5" bestFit="1" customWidth="1"/>
    <col min="1977" max="1977" width="29.5" bestFit="1" customWidth="1"/>
    <col min="1978" max="1978" width="28.83203125" bestFit="1" customWidth="1"/>
    <col min="1979" max="1979" width="30.6640625" bestFit="1" customWidth="1"/>
    <col min="1980" max="1980" width="30.33203125" bestFit="1" customWidth="1"/>
    <col min="1981" max="1981" width="31.5" bestFit="1" customWidth="1"/>
    <col min="1982" max="1982" width="29.5" bestFit="1" customWidth="1"/>
    <col min="1983" max="1983" width="28.83203125" bestFit="1" customWidth="1"/>
    <col min="1984" max="1984" width="30.6640625" bestFit="1" customWidth="1"/>
    <col min="1985" max="1985" width="30.33203125" bestFit="1" customWidth="1"/>
    <col min="1986" max="1986" width="31.5" bestFit="1" customWidth="1"/>
    <col min="1987" max="1987" width="29.5" bestFit="1" customWidth="1"/>
    <col min="1988" max="1988" width="28.83203125" bestFit="1" customWidth="1"/>
    <col min="1989" max="1989" width="30.6640625" bestFit="1" customWidth="1"/>
    <col min="1990" max="1990" width="30.33203125" bestFit="1" customWidth="1"/>
    <col min="1991" max="1991" width="31.5" bestFit="1" customWidth="1"/>
    <col min="1992" max="1992" width="29.5" bestFit="1" customWidth="1"/>
    <col min="1993" max="1993" width="28.83203125" bestFit="1" customWidth="1"/>
    <col min="1994" max="1994" width="30.6640625" bestFit="1" customWidth="1"/>
    <col min="1995" max="1995" width="30.33203125" bestFit="1" customWidth="1"/>
    <col min="1996" max="1996" width="31.5" bestFit="1" customWidth="1"/>
    <col min="1997" max="1997" width="29.5" bestFit="1" customWidth="1"/>
    <col min="1998" max="1998" width="28.83203125" bestFit="1" customWidth="1"/>
    <col min="1999" max="1999" width="30.6640625" bestFit="1" customWidth="1"/>
    <col min="2000" max="2000" width="30.33203125" bestFit="1" customWidth="1"/>
    <col min="2001" max="2001" width="31.5" bestFit="1" customWidth="1"/>
    <col min="2002" max="2002" width="29.5" bestFit="1" customWidth="1"/>
    <col min="2003" max="2003" width="28.83203125" bestFit="1" customWidth="1"/>
    <col min="2004" max="2004" width="30.6640625" bestFit="1" customWidth="1"/>
    <col min="2005" max="2005" width="30.33203125" bestFit="1" customWidth="1"/>
    <col min="2006" max="2006" width="31.5" bestFit="1" customWidth="1"/>
    <col min="2007" max="2007" width="29.5" bestFit="1" customWidth="1"/>
    <col min="2008" max="2008" width="28.83203125" bestFit="1" customWidth="1"/>
    <col min="2009" max="2009" width="30.6640625" bestFit="1" customWidth="1"/>
    <col min="2010" max="2010" width="30.33203125" bestFit="1" customWidth="1"/>
    <col min="2011" max="2011" width="31.5" bestFit="1" customWidth="1"/>
    <col min="2012" max="2012" width="29.5" bestFit="1" customWidth="1"/>
    <col min="2013" max="2013" width="28.83203125" bestFit="1" customWidth="1"/>
    <col min="2014" max="2014" width="30.6640625" bestFit="1" customWidth="1"/>
    <col min="2015" max="2015" width="30.33203125" bestFit="1" customWidth="1"/>
    <col min="2016" max="2016" width="31.5" bestFit="1" customWidth="1"/>
    <col min="2017" max="2017" width="29.5" bestFit="1" customWidth="1"/>
    <col min="2018" max="2018" width="28.83203125" bestFit="1" customWidth="1"/>
    <col min="2019" max="2019" width="30.6640625" bestFit="1" customWidth="1"/>
    <col min="2020" max="2020" width="30.33203125" bestFit="1" customWidth="1"/>
    <col min="2021" max="2021" width="31.5" bestFit="1" customWidth="1"/>
    <col min="2022" max="2022" width="29.5" bestFit="1" customWidth="1"/>
    <col min="2023" max="2023" width="28.83203125" bestFit="1" customWidth="1"/>
    <col min="2024" max="2024" width="30.6640625" bestFit="1" customWidth="1"/>
    <col min="2025" max="2025" width="30.33203125" bestFit="1" customWidth="1"/>
    <col min="2026" max="2026" width="31.5" bestFit="1" customWidth="1"/>
    <col min="2027" max="2027" width="29.5" bestFit="1" customWidth="1"/>
    <col min="2028" max="2028" width="28.83203125" bestFit="1" customWidth="1"/>
    <col min="2029" max="2029" width="30.6640625" bestFit="1" customWidth="1"/>
    <col min="2030" max="2030" width="30.33203125" bestFit="1" customWidth="1"/>
    <col min="2031" max="2031" width="31.5" bestFit="1" customWidth="1"/>
    <col min="2032" max="2032" width="29.5" bestFit="1" customWidth="1"/>
    <col min="2033" max="2033" width="28.83203125" bestFit="1" customWidth="1"/>
    <col min="2034" max="2034" width="30.6640625" bestFit="1" customWidth="1"/>
    <col min="2035" max="2035" width="30.33203125" bestFit="1" customWidth="1"/>
    <col min="2036" max="2036" width="31.5" bestFit="1" customWidth="1"/>
    <col min="2037" max="2037" width="29.5" bestFit="1" customWidth="1"/>
    <col min="2038" max="2038" width="28.83203125" bestFit="1" customWidth="1"/>
    <col min="2039" max="2039" width="30.6640625" bestFit="1" customWidth="1"/>
    <col min="2040" max="2040" width="30.33203125" bestFit="1" customWidth="1"/>
    <col min="2041" max="2041" width="31.5" bestFit="1" customWidth="1"/>
    <col min="2042" max="2042" width="29.5" bestFit="1" customWidth="1"/>
    <col min="2043" max="2043" width="28.83203125" bestFit="1" customWidth="1"/>
    <col min="2044" max="2044" width="30.6640625" bestFit="1" customWidth="1"/>
    <col min="2045" max="2045" width="30.33203125" bestFit="1" customWidth="1"/>
    <col min="2046" max="2046" width="31.5" bestFit="1" customWidth="1"/>
    <col min="2047" max="2047" width="29.5" bestFit="1" customWidth="1"/>
    <col min="2048" max="2048" width="28.83203125" bestFit="1" customWidth="1"/>
    <col min="2049" max="2049" width="30.6640625" bestFit="1" customWidth="1"/>
    <col min="2050" max="2050" width="30.33203125" bestFit="1" customWidth="1"/>
    <col min="2051" max="2051" width="31.5" bestFit="1" customWidth="1"/>
    <col min="2052" max="2052" width="29.5" bestFit="1" customWidth="1"/>
    <col min="2053" max="2053" width="28.83203125" bestFit="1" customWidth="1"/>
    <col min="2054" max="2054" width="30.6640625" bestFit="1" customWidth="1"/>
    <col min="2055" max="2055" width="30.33203125" bestFit="1" customWidth="1"/>
    <col min="2056" max="2056" width="31.5" bestFit="1" customWidth="1"/>
    <col min="2057" max="2057" width="29.5" bestFit="1" customWidth="1"/>
    <col min="2058" max="2058" width="28.83203125" bestFit="1" customWidth="1"/>
    <col min="2059" max="2059" width="30.6640625" bestFit="1" customWidth="1"/>
    <col min="2060" max="2060" width="30.33203125" bestFit="1" customWidth="1"/>
    <col min="2061" max="2061" width="31.5" bestFit="1" customWidth="1"/>
    <col min="2062" max="2062" width="29.5" bestFit="1" customWidth="1"/>
    <col min="2063" max="2063" width="28.83203125" bestFit="1" customWidth="1"/>
    <col min="2064" max="2064" width="30.6640625" bestFit="1" customWidth="1"/>
    <col min="2065" max="2065" width="30.33203125" bestFit="1" customWidth="1"/>
    <col min="2066" max="2066" width="31.5" bestFit="1" customWidth="1"/>
    <col min="2067" max="2067" width="29.5" bestFit="1" customWidth="1"/>
    <col min="2068" max="2068" width="28.83203125" bestFit="1" customWidth="1"/>
    <col min="2069" max="2069" width="30.6640625" bestFit="1" customWidth="1"/>
    <col min="2070" max="2070" width="30.33203125" bestFit="1" customWidth="1"/>
    <col min="2071" max="2071" width="31.5" bestFit="1" customWidth="1"/>
    <col min="2072" max="2072" width="29.5" bestFit="1" customWidth="1"/>
    <col min="2073" max="2073" width="28.83203125" bestFit="1" customWidth="1"/>
    <col min="2074" max="2074" width="30.6640625" bestFit="1" customWidth="1"/>
    <col min="2075" max="2075" width="30.33203125" bestFit="1" customWidth="1"/>
    <col min="2076" max="2076" width="31.5" bestFit="1" customWidth="1"/>
    <col min="2077" max="2077" width="29.5" bestFit="1" customWidth="1"/>
    <col min="2078" max="2078" width="28.83203125" bestFit="1" customWidth="1"/>
    <col min="2079" max="2079" width="30.6640625" bestFit="1" customWidth="1"/>
    <col min="2080" max="2080" width="30.33203125" bestFit="1" customWidth="1"/>
    <col min="2081" max="2081" width="31.5" bestFit="1" customWidth="1"/>
    <col min="2082" max="2082" width="29.5" bestFit="1" customWidth="1"/>
    <col min="2083" max="2083" width="28.83203125" bestFit="1" customWidth="1"/>
    <col min="2084" max="2084" width="30.6640625" bestFit="1" customWidth="1"/>
    <col min="2085" max="2085" width="30.33203125" bestFit="1" customWidth="1"/>
    <col min="2086" max="2086" width="31.5" bestFit="1" customWidth="1"/>
    <col min="2087" max="2087" width="29.5" bestFit="1" customWidth="1"/>
    <col min="2088" max="2088" width="28.83203125" bestFit="1" customWidth="1"/>
    <col min="2089" max="2089" width="30.6640625" bestFit="1" customWidth="1"/>
    <col min="2090" max="2090" width="30.33203125" bestFit="1" customWidth="1"/>
    <col min="2091" max="2091" width="31.5" bestFit="1" customWidth="1"/>
    <col min="2092" max="2092" width="29.5" bestFit="1" customWidth="1"/>
    <col min="2093" max="2093" width="28.83203125" bestFit="1" customWidth="1"/>
    <col min="2094" max="2094" width="30.6640625" bestFit="1" customWidth="1"/>
    <col min="2095" max="2095" width="30.33203125" bestFit="1" customWidth="1"/>
    <col min="2096" max="2096" width="31.5" bestFit="1" customWidth="1"/>
    <col min="2097" max="2097" width="29.5" bestFit="1" customWidth="1"/>
    <col min="2098" max="2098" width="28.83203125" bestFit="1" customWidth="1"/>
    <col min="2099" max="2099" width="30.6640625" bestFit="1" customWidth="1"/>
    <col min="2100" max="2100" width="30.33203125" bestFit="1" customWidth="1"/>
    <col min="2101" max="2101" width="31.5" bestFit="1" customWidth="1"/>
    <col min="2102" max="2102" width="29.5" bestFit="1" customWidth="1"/>
    <col min="2103" max="2103" width="28.83203125" bestFit="1" customWidth="1"/>
    <col min="2104" max="2104" width="30.6640625" bestFit="1" customWidth="1"/>
    <col min="2105" max="2105" width="30.33203125" bestFit="1" customWidth="1"/>
    <col min="2106" max="2106" width="31.5" bestFit="1" customWidth="1"/>
    <col min="2107" max="2107" width="29.5" bestFit="1" customWidth="1"/>
    <col min="2108" max="2108" width="28.83203125" bestFit="1" customWidth="1"/>
    <col min="2109" max="2109" width="30.6640625" bestFit="1" customWidth="1"/>
    <col min="2110" max="2110" width="30.33203125" bestFit="1" customWidth="1"/>
    <col min="2111" max="2111" width="31.5" bestFit="1" customWidth="1"/>
    <col min="2112" max="2112" width="29.5" bestFit="1" customWidth="1"/>
    <col min="2113" max="2113" width="28.83203125" bestFit="1" customWidth="1"/>
    <col min="2114" max="2114" width="30.6640625" bestFit="1" customWidth="1"/>
    <col min="2115" max="2115" width="30.33203125" bestFit="1" customWidth="1"/>
    <col min="2116" max="2116" width="31.5" bestFit="1" customWidth="1"/>
    <col min="2117" max="2117" width="29.5" bestFit="1" customWidth="1"/>
    <col min="2118" max="2118" width="28.83203125" bestFit="1" customWidth="1"/>
    <col min="2119" max="2119" width="30.6640625" bestFit="1" customWidth="1"/>
    <col min="2120" max="2120" width="30.33203125" bestFit="1" customWidth="1"/>
    <col min="2121" max="2121" width="31.5" bestFit="1" customWidth="1"/>
    <col min="2122" max="2122" width="29.5" bestFit="1" customWidth="1"/>
    <col min="2123" max="2123" width="28.83203125" bestFit="1" customWidth="1"/>
    <col min="2124" max="2124" width="30.6640625" bestFit="1" customWidth="1"/>
    <col min="2125" max="2125" width="30.33203125" bestFit="1" customWidth="1"/>
    <col min="2126" max="2126" width="31.5" bestFit="1" customWidth="1"/>
    <col min="2127" max="2127" width="29.5" bestFit="1" customWidth="1"/>
    <col min="2128" max="2128" width="28.83203125" bestFit="1" customWidth="1"/>
    <col min="2129" max="2129" width="30.6640625" bestFit="1" customWidth="1"/>
    <col min="2130" max="2130" width="30.33203125" bestFit="1" customWidth="1"/>
    <col min="2131" max="2131" width="31.5" bestFit="1" customWidth="1"/>
    <col min="2132" max="2132" width="29.5" bestFit="1" customWidth="1"/>
    <col min="2133" max="2133" width="28.83203125" bestFit="1" customWidth="1"/>
    <col min="2134" max="2134" width="30.6640625" bestFit="1" customWidth="1"/>
    <col min="2135" max="2135" width="30.33203125" bestFit="1" customWidth="1"/>
    <col min="2136" max="2136" width="31.5" bestFit="1" customWidth="1"/>
    <col min="2137" max="2137" width="29.5" bestFit="1" customWidth="1"/>
    <col min="2138" max="2138" width="28.83203125" bestFit="1" customWidth="1"/>
    <col min="2139" max="2139" width="30.6640625" bestFit="1" customWidth="1"/>
    <col min="2140" max="2140" width="30.33203125" bestFit="1" customWidth="1"/>
    <col min="2141" max="2141" width="31.5" bestFit="1" customWidth="1"/>
    <col min="2142" max="2142" width="29.5" bestFit="1" customWidth="1"/>
    <col min="2143" max="2143" width="28.83203125" bestFit="1" customWidth="1"/>
    <col min="2144" max="2144" width="30.6640625" bestFit="1" customWidth="1"/>
    <col min="2145" max="2145" width="30.33203125" bestFit="1" customWidth="1"/>
    <col min="2146" max="2146" width="31.5" bestFit="1" customWidth="1"/>
    <col min="2147" max="2147" width="29.5" bestFit="1" customWidth="1"/>
    <col min="2148" max="2148" width="28.83203125" bestFit="1" customWidth="1"/>
    <col min="2149" max="2149" width="30.6640625" bestFit="1" customWidth="1"/>
    <col min="2150" max="2150" width="30.33203125" bestFit="1" customWidth="1"/>
    <col min="2151" max="2151" width="31.5" bestFit="1" customWidth="1"/>
    <col min="2152" max="2152" width="29.5" bestFit="1" customWidth="1"/>
    <col min="2153" max="2153" width="28.83203125" bestFit="1" customWidth="1"/>
    <col min="2154" max="2154" width="30.6640625" bestFit="1" customWidth="1"/>
    <col min="2155" max="2155" width="30.33203125" bestFit="1" customWidth="1"/>
    <col min="2156" max="2156" width="31.5" bestFit="1" customWidth="1"/>
    <col min="2157" max="2157" width="29.5" bestFit="1" customWidth="1"/>
    <col min="2158" max="2158" width="28.83203125" bestFit="1" customWidth="1"/>
    <col min="2159" max="2159" width="30.6640625" bestFit="1" customWidth="1"/>
    <col min="2160" max="2160" width="30.33203125" bestFit="1" customWidth="1"/>
    <col min="2161" max="2161" width="31.5" bestFit="1" customWidth="1"/>
    <col min="2162" max="2162" width="29.5" bestFit="1" customWidth="1"/>
    <col min="2163" max="2163" width="28.83203125" bestFit="1" customWidth="1"/>
    <col min="2164" max="2164" width="30.6640625" bestFit="1" customWidth="1"/>
    <col min="2165" max="2165" width="30.33203125" bestFit="1" customWidth="1"/>
    <col min="2166" max="2166" width="31.5" bestFit="1" customWidth="1"/>
    <col min="2167" max="2167" width="29.5" bestFit="1" customWidth="1"/>
    <col min="2168" max="2168" width="28.83203125" bestFit="1" customWidth="1"/>
    <col min="2169" max="2169" width="30.6640625" bestFit="1" customWidth="1"/>
    <col min="2170" max="2170" width="30.33203125" bestFit="1" customWidth="1"/>
    <col min="2171" max="2171" width="31.5" bestFit="1" customWidth="1"/>
    <col min="2172" max="2172" width="29.5" bestFit="1" customWidth="1"/>
    <col min="2173" max="2173" width="28.83203125" bestFit="1" customWidth="1"/>
    <col min="2174" max="2174" width="30.6640625" bestFit="1" customWidth="1"/>
    <col min="2175" max="2175" width="30.33203125" bestFit="1" customWidth="1"/>
    <col min="2176" max="2176" width="31.5" bestFit="1" customWidth="1"/>
    <col min="2177" max="2177" width="29.5" bestFit="1" customWidth="1"/>
    <col min="2178" max="2178" width="28.83203125" bestFit="1" customWidth="1"/>
    <col min="2179" max="2179" width="30.6640625" bestFit="1" customWidth="1"/>
    <col min="2180" max="2180" width="30.33203125" bestFit="1" customWidth="1"/>
    <col min="2181" max="2181" width="31.5" bestFit="1" customWidth="1"/>
    <col min="2182" max="2182" width="29.5" bestFit="1" customWidth="1"/>
    <col min="2183" max="2183" width="28.83203125" bestFit="1" customWidth="1"/>
    <col min="2184" max="2184" width="30.6640625" bestFit="1" customWidth="1"/>
    <col min="2185" max="2185" width="30.33203125" bestFit="1" customWidth="1"/>
    <col min="2186" max="2186" width="31.5" bestFit="1" customWidth="1"/>
    <col min="2187" max="2187" width="29.5" bestFit="1" customWidth="1"/>
    <col min="2188" max="2188" width="28.83203125" bestFit="1" customWidth="1"/>
    <col min="2189" max="2189" width="30.6640625" bestFit="1" customWidth="1"/>
    <col min="2190" max="2190" width="30.33203125" bestFit="1" customWidth="1"/>
    <col min="2191" max="2191" width="31.5" bestFit="1" customWidth="1"/>
    <col min="2192" max="2192" width="29.5" bestFit="1" customWidth="1"/>
    <col min="2193" max="2193" width="28.83203125" bestFit="1" customWidth="1"/>
    <col min="2194" max="2194" width="30.6640625" bestFit="1" customWidth="1"/>
    <col min="2195" max="2195" width="30.33203125" bestFit="1" customWidth="1"/>
    <col min="2196" max="2196" width="31.5" bestFit="1" customWidth="1"/>
    <col min="2197" max="2197" width="29.5" bestFit="1" customWidth="1"/>
    <col min="2198" max="2198" width="28.83203125" bestFit="1" customWidth="1"/>
    <col min="2199" max="2199" width="30.6640625" bestFit="1" customWidth="1"/>
    <col min="2200" max="2200" width="30.33203125" bestFit="1" customWidth="1"/>
    <col min="2201" max="2201" width="31.5" bestFit="1" customWidth="1"/>
    <col min="2202" max="2202" width="29.5" bestFit="1" customWidth="1"/>
    <col min="2203" max="2203" width="28.83203125" bestFit="1" customWidth="1"/>
    <col min="2204" max="2204" width="30.6640625" bestFit="1" customWidth="1"/>
    <col min="2205" max="2205" width="30.33203125" bestFit="1" customWidth="1"/>
    <col min="2206" max="2206" width="31.5" bestFit="1" customWidth="1"/>
    <col min="2207" max="2207" width="29.5" bestFit="1" customWidth="1"/>
    <col min="2208" max="2208" width="28.83203125" bestFit="1" customWidth="1"/>
    <col min="2209" max="2209" width="30.6640625" bestFit="1" customWidth="1"/>
    <col min="2210" max="2210" width="30.33203125" bestFit="1" customWidth="1"/>
    <col min="2211" max="2211" width="31.5" bestFit="1" customWidth="1"/>
    <col min="2212" max="2212" width="29.5" bestFit="1" customWidth="1"/>
    <col min="2213" max="2213" width="28.83203125" bestFit="1" customWidth="1"/>
    <col min="2214" max="2214" width="30.6640625" bestFit="1" customWidth="1"/>
    <col min="2215" max="2215" width="30.33203125" bestFit="1" customWidth="1"/>
    <col min="2216" max="2216" width="31.5" bestFit="1" customWidth="1"/>
    <col min="2217" max="2217" width="29.5" bestFit="1" customWidth="1"/>
    <col min="2218" max="2218" width="28.83203125" bestFit="1" customWidth="1"/>
    <col min="2219" max="2219" width="30.6640625" bestFit="1" customWidth="1"/>
    <col min="2220" max="2220" width="30.33203125" bestFit="1" customWidth="1"/>
    <col min="2221" max="2221" width="31.5" bestFit="1" customWidth="1"/>
    <col min="2222" max="2222" width="29.5" bestFit="1" customWidth="1"/>
    <col min="2223" max="2223" width="28.83203125" bestFit="1" customWidth="1"/>
    <col min="2224" max="2224" width="30.6640625" bestFit="1" customWidth="1"/>
    <col min="2225" max="2225" width="30.33203125" bestFit="1" customWidth="1"/>
    <col min="2226" max="2226" width="31.5" bestFit="1" customWidth="1"/>
    <col min="2227" max="2227" width="29.5" bestFit="1" customWidth="1"/>
    <col min="2228" max="2228" width="28.83203125" bestFit="1" customWidth="1"/>
    <col min="2229" max="2229" width="30.6640625" bestFit="1" customWidth="1"/>
    <col min="2230" max="2230" width="30.33203125" bestFit="1" customWidth="1"/>
    <col min="2231" max="2231" width="31.5" bestFit="1" customWidth="1"/>
    <col min="2232" max="2232" width="29.5" bestFit="1" customWidth="1"/>
    <col min="2233" max="2233" width="28.83203125" bestFit="1" customWidth="1"/>
    <col min="2234" max="2234" width="30.6640625" bestFit="1" customWidth="1"/>
    <col min="2235" max="2235" width="30.33203125" bestFit="1" customWidth="1"/>
    <col min="2236" max="2236" width="31.5" bestFit="1" customWidth="1"/>
    <col min="2237" max="2237" width="29.5" bestFit="1" customWidth="1"/>
    <col min="2238" max="2238" width="28.83203125" bestFit="1" customWidth="1"/>
    <col min="2239" max="2239" width="30.6640625" bestFit="1" customWidth="1"/>
    <col min="2240" max="2240" width="30.33203125" bestFit="1" customWidth="1"/>
    <col min="2241" max="2241" width="31.5" bestFit="1" customWidth="1"/>
    <col min="2242" max="2242" width="29.5" bestFit="1" customWidth="1"/>
    <col min="2243" max="2243" width="28.83203125" bestFit="1" customWidth="1"/>
    <col min="2244" max="2244" width="30.6640625" bestFit="1" customWidth="1"/>
    <col min="2245" max="2245" width="30.33203125" bestFit="1" customWidth="1"/>
    <col min="2246" max="2246" width="31.5" bestFit="1" customWidth="1"/>
    <col min="2247" max="2247" width="29.5" bestFit="1" customWidth="1"/>
    <col min="2248" max="2248" width="28.83203125" bestFit="1" customWidth="1"/>
    <col min="2249" max="2249" width="30.6640625" bestFit="1" customWidth="1"/>
    <col min="2250" max="2250" width="30.33203125" bestFit="1" customWidth="1"/>
    <col min="2251" max="2251" width="31.5" bestFit="1" customWidth="1"/>
    <col min="2252" max="2252" width="29.5" bestFit="1" customWidth="1"/>
    <col min="2253" max="2253" width="28.83203125" bestFit="1" customWidth="1"/>
    <col min="2254" max="2254" width="30.6640625" bestFit="1" customWidth="1"/>
    <col min="2255" max="2255" width="30.33203125" bestFit="1" customWidth="1"/>
    <col min="2256" max="2256" width="31.5" bestFit="1" customWidth="1"/>
    <col min="2257" max="2257" width="29.5" bestFit="1" customWidth="1"/>
    <col min="2258" max="2258" width="28.83203125" bestFit="1" customWidth="1"/>
    <col min="2259" max="2259" width="30.6640625" bestFit="1" customWidth="1"/>
    <col min="2260" max="2260" width="30.33203125" bestFit="1" customWidth="1"/>
    <col min="2261" max="2261" width="31.5" bestFit="1" customWidth="1"/>
    <col min="2262" max="2262" width="29.5" bestFit="1" customWidth="1"/>
    <col min="2263" max="2263" width="28.83203125" bestFit="1" customWidth="1"/>
    <col min="2264" max="2264" width="30.6640625" bestFit="1" customWidth="1"/>
    <col min="2265" max="2265" width="30.33203125" bestFit="1" customWidth="1"/>
    <col min="2266" max="2266" width="31.5" bestFit="1" customWidth="1"/>
    <col min="2267" max="2267" width="29.5" bestFit="1" customWidth="1"/>
    <col min="2268" max="2268" width="28.83203125" bestFit="1" customWidth="1"/>
    <col min="2269" max="2269" width="30.6640625" bestFit="1" customWidth="1"/>
    <col min="2270" max="2270" width="30.33203125" bestFit="1" customWidth="1"/>
    <col min="2271" max="2271" width="31.5" bestFit="1" customWidth="1"/>
    <col min="2272" max="2272" width="29.5" bestFit="1" customWidth="1"/>
    <col min="2273" max="2273" width="28.83203125" bestFit="1" customWidth="1"/>
    <col min="2274" max="2274" width="30.6640625" bestFit="1" customWidth="1"/>
    <col min="2275" max="2275" width="30.33203125" bestFit="1" customWidth="1"/>
    <col min="2276" max="2276" width="31.5" bestFit="1" customWidth="1"/>
    <col min="2277" max="2277" width="29.5" bestFit="1" customWidth="1"/>
    <col min="2278" max="2278" width="28.83203125" bestFit="1" customWidth="1"/>
    <col min="2279" max="2279" width="30.6640625" bestFit="1" customWidth="1"/>
    <col min="2280" max="2280" width="30.33203125" bestFit="1" customWidth="1"/>
    <col min="2281" max="2281" width="31.5" bestFit="1" customWidth="1"/>
    <col min="2282" max="2282" width="29.5" bestFit="1" customWidth="1"/>
    <col min="2283" max="2283" width="28.83203125" bestFit="1" customWidth="1"/>
    <col min="2284" max="2284" width="30.6640625" bestFit="1" customWidth="1"/>
    <col min="2285" max="2285" width="30.33203125" bestFit="1" customWidth="1"/>
    <col min="2286" max="2286" width="31.5" bestFit="1" customWidth="1"/>
    <col min="2287" max="2287" width="29.5" bestFit="1" customWidth="1"/>
    <col min="2288" max="2288" width="28.83203125" bestFit="1" customWidth="1"/>
    <col min="2289" max="2289" width="30.6640625" bestFit="1" customWidth="1"/>
    <col min="2290" max="2290" width="30.33203125" bestFit="1" customWidth="1"/>
    <col min="2291" max="2291" width="31.5" bestFit="1" customWidth="1"/>
    <col min="2292" max="2292" width="29.5" bestFit="1" customWidth="1"/>
    <col min="2293" max="2293" width="28.83203125" bestFit="1" customWidth="1"/>
    <col min="2294" max="2294" width="30.6640625" bestFit="1" customWidth="1"/>
    <col min="2295" max="2295" width="30.33203125" bestFit="1" customWidth="1"/>
    <col min="2296" max="2296" width="31.5" bestFit="1" customWidth="1"/>
    <col min="2297" max="2297" width="29.5" bestFit="1" customWidth="1"/>
    <col min="2298" max="2298" width="28.83203125" bestFit="1" customWidth="1"/>
    <col min="2299" max="2299" width="30.6640625" bestFit="1" customWidth="1"/>
    <col min="2300" max="2300" width="30.33203125" bestFit="1" customWidth="1"/>
    <col min="2301" max="2301" width="31.5" bestFit="1" customWidth="1"/>
    <col min="2302" max="2302" width="29.5" bestFit="1" customWidth="1"/>
    <col min="2303" max="2303" width="28.83203125" bestFit="1" customWidth="1"/>
    <col min="2304" max="2304" width="30.6640625" bestFit="1" customWidth="1"/>
    <col min="2305" max="2305" width="30.33203125" bestFit="1" customWidth="1"/>
    <col min="2306" max="2306" width="31.5" bestFit="1" customWidth="1"/>
    <col min="2307" max="2307" width="29.5" bestFit="1" customWidth="1"/>
    <col min="2308" max="2308" width="28.83203125" bestFit="1" customWidth="1"/>
    <col min="2309" max="2309" width="30.6640625" bestFit="1" customWidth="1"/>
    <col min="2310" max="2310" width="30.33203125" bestFit="1" customWidth="1"/>
    <col min="2311" max="2311" width="31.5" bestFit="1" customWidth="1"/>
    <col min="2312" max="2312" width="29.5" bestFit="1" customWidth="1"/>
    <col min="2313" max="2313" width="28.83203125" bestFit="1" customWidth="1"/>
    <col min="2314" max="2314" width="30.6640625" bestFit="1" customWidth="1"/>
    <col min="2315" max="2315" width="30.33203125" bestFit="1" customWidth="1"/>
    <col min="2316" max="2316" width="31.5" bestFit="1" customWidth="1"/>
    <col min="2317" max="2317" width="29.5" bestFit="1" customWidth="1"/>
    <col min="2318" max="2318" width="28.83203125" bestFit="1" customWidth="1"/>
    <col min="2319" max="2319" width="30.6640625" bestFit="1" customWidth="1"/>
    <col min="2320" max="2320" width="30.33203125" bestFit="1" customWidth="1"/>
    <col min="2321" max="2321" width="31.5" bestFit="1" customWidth="1"/>
    <col min="2322" max="2322" width="29.5" bestFit="1" customWidth="1"/>
    <col min="2323" max="2323" width="28.83203125" bestFit="1" customWidth="1"/>
    <col min="2324" max="2324" width="30.6640625" bestFit="1" customWidth="1"/>
    <col min="2325" max="2325" width="30.33203125" bestFit="1" customWidth="1"/>
    <col min="2326" max="2326" width="31.5" bestFit="1" customWidth="1"/>
    <col min="2327" max="2327" width="29.5" bestFit="1" customWidth="1"/>
    <col min="2328" max="2328" width="28.83203125" bestFit="1" customWidth="1"/>
    <col min="2329" max="2329" width="30.6640625" bestFit="1" customWidth="1"/>
    <col min="2330" max="2330" width="30.33203125" bestFit="1" customWidth="1"/>
    <col min="2331" max="2331" width="31.5" bestFit="1" customWidth="1"/>
    <col min="2332" max="2332" width="29.5" bestFit="1" customWidth="1"/>
    <col min="2333" max="2333" width="28.83203125" bestFit="1" customWidth="1"/>
    <col min="2334" max="2334" width="30.6640625" bestFit="1" customWidth="1"/>
    <col min="2335" max="2335" width="30.33203125" bestFit="1" customWidth="1"/>
    <col min="2336" max="2336" width="31.5" bestFit="1" customWidth="1"/>
    <col min="2337" max="2337" width="29.5" bestFit="1" customWidth="1"/>
    <col min="2338" max="2338" width="28.83203125" bestFit="1" customWidth="1"/>
    <col min="2339" max="2339" width="30.6640625" bestFit="1" customWidth="1"/>
    <col min="2340" max="2340" width="30.33203125" bestFit="1" customWidth="1"/>
    <col min="2341" max="2341" width="31.5" bestFit="1" customWidth="1"/>
    <col min="2342" max="2342" width="29.5" bestFit="1" customWidth="1"/>
    <col min="2343" max="2343" width="28.83203125" bestFit="1" customWidth="1"/>
    <col min="2344" max="2344" width="30.6640625" bestFit="1" customWidth="1"/>
    <col min="2345" max="2345" width="30.33203125" bestFit="1" customWidth="1"/>
    <col min="2346" max="2346" width="31.5" bestFit="1" customWidth="1"/>
    <col min="2347" max="2347" width="29.5" bestFit="1" customWidth="1"/>
    <col min="2348" max="2348" width="28.83203125" bestFit="1" customWidth="1"/>
    <col min="2349" max="2349" width="30.6640625" bestFit="1" customWidth="1"/>
    <col min="2350" max="2350" width="30.33203125" bestFit="1" customWidth="1"/>
    <col min="2351" max="2351" width="31.5" bestFit="1" customWidth="1"/>
    <col min="2352" max="2352" width="29.5" bestFit="1" customWidth="1"/>
    <col min="2353" max="2353" width="28.83203125" bestFit="1" customWidth="1"/>
    <col min="2354" max="2354" width="30.6640625" bestFit="1" customWidth="1"/>
    <col min="2355" max="2355" width="30.33203125" bestFit="1" customWidth="1"/>
    <col min="2356" max="2356" width="31.5" bestFit="1" customWidth="1"/>
    <col min="2357" max="2357" width="29.5" bestFit="1" customWidth="1"/>
    <col min="2358" max="2358" width="28.83203125" bestFit="1" customWidth="1"/>
    <col min="2359" max="2359" width="30.6640625" bestFit="1" customWidth="1"/>
    <col min="2360" max="2360" width="30.33203125" bestFit="1" customWidth="1"/>
    <col min="2361" max="2361" width="31.5" bestFit="1" customWidth="1"/>
    <col min="2362" max="2362" width="29.5" bestFit="1" customWidth="1"/>
    <col min="2363" max="2363" width="28.83203125" bestFit="1" customWidth="1"/>
    <col min="2364" max="2364" width="30.6640625" bestFit="1" customWidth="1"/>
    <col min="2365" max="2365" width="30.33203125" bestFit="1" customWidth="1"/>
    <col min="2366" max="2366" width="31.5" bestFit="1" customWidth="1"/>
    <col min="2367" max="2367" width="29.5" bestFit="1" customWidth="1"/>
    <col min="2368" max="2368" width="28.83203125" bestFit="1" customWidth="1"/>
    <col min="2369" max="2369" width="30.6640625" bestFit="1" customWidth="1"/>
    <col min="2370" max="2370" width="30.33203125" bestFit="1" customWidth="1"/>
    <col min="2371" max="2371" width="31.5" bestFit="1" customWidth="1"/>
    <col min="2372" max="2372" width="29.5" bestFit="1" customWidth="1"/>
    <col min="2373" max="2373" width="28.83203125" bestFit="1" customWidth="1"/>
    <col min="2374" max="2374" width="30.6640625" bestFit="1" customWidth="1"/>
    <col min="2375" max="2375" width="30.33203125" bestFit="1" customWidth="1"/>
    <col min="2376" max="2376" width="31.5" bestFit="1" customWidth="1"/>
    <col min="2377" max="2377" width="29.5" bestFit="1" customWidth="1"/>
    <col min="2378" max="2378" width="28.83203125" bestFit="1" customWidth="1"/>
    <col min="2379" max="2379" width="30.6640625" bestFit="1" customWidth="1"/>
    <col min="2380" max="2380" width="30.33203125" bestFit="1" customWidth="1"/>
    <col min="2381" max="2381" width="31.5" bestFit="1" customWidth="1"/>
    <col min="2382" max="2382" width="29.5" bestFit="1" customWidth="1"/>
    <col min="2383" max="2383" width="28.83203125" bestFit="1" customWidth="1"/>
    <col min="2384" max="2384" width="30.6640625" bestFit="1" customWidth="1"/>
    <col min="2385" max="2385" width="30.33203125" bestFit="1" customWidth="1"/>
    <col min="2386" max="2386" width="31.5" bestFit="1" customWidth="1"/>
    <col min="2387" max="2387" width="29.5" bestFit="1" customWidth="1"/>
    <col min="2388" max="2388" width="28.83203125" bestFit="1" customWidth="1"/>
    <col min="2389" max="2389" width="30.6640625" bestFit="1" customWidth="1"/>
    <col min="2390" max="2390" width="30.33203125" bestFit="1" customWidth="1"/>
    <col min="2391" max="2391" width="31.5" bestFit="1" customWidth="1"/>
    <col min="2392" max="2392" width="29.5" bestFit="1" customWidth="1"/>
    <col min="2393" max="2393" width="28.83203125" bestFit="1" customWidth="1"/>
    <col min="2394" max="2394" width="30.6640625" bestFit="1" customWidth="1"/>
    <col min="2395" max="2395" width="30.33203125" bestFit="1" customWidth="1"/>
    <col min="2396" max="2396" width="31.5" bestFit="1" customWidth="1"/>
    <col min="2397" max="2397" width="29.5" bestFit="1" customWidth="1"/>
    <col min="2398" max="2398" width="28.83203125" bestFit="1" customWidth="1"/>
    <col min="2399" max="2399" width="30.6640625" bestFit="1" customWidth="1"/>
    <col min="2400" max="2400" width="30.33203125" bestFit="1" customWidth="1"/>
    <col min="2401" max="2401" width="31.5" bestFit="1" customWidth="1"/>
    <col min="2402" max="2402" width="29.5" bestFit="1" customWidth="1"/>
    <col min="2403" max="2403" width="28.83203125" bestFit="1" customWidth="1"/>
    <col min="2404" max="2404" width="30.6640625" bestFit="1" customWidth="1"/>
    <col min="2405" max="2405" width="30.33203125" bestFit="1" customWidth="1"/>
    <col min="2406" max="2406" width="31.5" bestFit="1" customWidth="1"/>
    <col min="2407" max="2407" width="29.5" bestFit="1" customWidth="1"/>
    <col min="2408" max="2408" width="28.83203125" bestFit="1" customWidth="1"/>
    <col min="2409" max="2409" width="30.6640625" bestFit="1" customWidth="1"/>
    <col min="2410" max="2410" width="30.33203125" bestFit="1" customWidth="1"/>
    <col min="2411" max="2411" width="31.5" bestFit="1" customWidth="1"/>
    <col min="2412" max="2412" width="29.5" bestFit="1" customWidth="1"/>
    <col min="2413" max="2413" width="28.83203125" bestFit="1" customWidth="1"/>
    <col min="2414" max="2414" width="30.6640625" bestFit="1" customWidth="1"/>
    <col min="2415" max="2415" width="30.33203125" bestFit="1" customWidth="1"/>
    <col min="2416" max="2416" width="31.5" bestFit="1" customWidth="1"/>
    <col min="2417" max="2417" width="29.5" bestFit="1" customWidth="1"/>
    <col min="2418" max="2418" width="28.83203125" bestFit="1" customWidth="1"/>
    <col min="2419" max="2419" width="30.6640625" bestFit="1" customWidth="1"/>
    <col min="2420" max="2420" width="30.33203125" bestFit="1" customWidth="1"/>
    <col min="2421" max="2421" width="31.5" bestFit="1" customWidth="1"/>
    <col min="2422" max="2422" width="29.5" bestFit="1" customWidth="1"/>
    <col min="2423" max="2423" width="28.83203125" bestFit="1" customWidth="1"/>
    <col min="2424" max="2424" width="30.6640625" bestFit="1" customWidth="1"/>
    <col min="2425" max="2425" width="30.33203125" bestFit="1" customWidth="1"/>
    <col min="2426" max="2426" width="31.5" bestFit="1" customWidth="1"/>
    <col min="2427" max="2427" width="29.5" bestFit="1" customWidth="1"/>
    <col min="2428" max="2428" width="28.83203125" bestFit="1" customWidth="1"/>
    <col min="2429" max="2429" width="30.6640625" bestFit="1" customWidth="1"/>
    <col min="2430" max="2430" width="30.33203125" bestFit="1" customWidth="1"/>
    <col min="2431" max="2431" width="31.5" bestFit="1" customWidth="1"/>
    <col min="2432" max="2432" width="29.5" bestFit="1" customWidth="1"/>
    <col min="2433" max="2433" width="28.83203125" bestFit="1" customWidth="1"/>
    <col min="2434" max="2434" width="30.6640625" bestFit="1" customWidth="1"/>
    <col min="2435" max="2435" width="30.33203125" bestFit="1" customWidth="1"/>
    <col min="2436" max="2436" width="31.5" bestFit="1" customWidth="1"/>
    <col min="2437" max="2437" width="29.5" bestFit="1" customWidth="1"/>
    <col min="2438" max="2438" width="28.83203125" bestFit="1" customWidth="1"/>
    <col min="2439" max="2439" width="30.6640625" bestFit="1" customWidth="1"/>
    <col min="2440" max="2440" width="30.33203125" bestFit="1" customWidth="1"/>
    <col min="2441" max="2441" width="31.5" bestFit="1" customWidth="1"/>
    <col min="2442" max="2442" width="29.5" bestFit="1" customWidth="1"/>
    <col min="2443" max="2443" width="28.83203125" bestFit="1" customWidth="1"/>
    <col min="2444" max="2444" width="30.6640625" bestFit="1" customWidth="1"/>
    <col min="2445" max="2445" width="30.33203125" bestFit="1" customWidth="1"/>
    <col min="2446" max="2446" width="31.5" bestFit="1" customWidth="1"/>
    <col min="2447" max="2447" width="29.5" bestFit="1" customWidth="1"/>
    <col min="2448" max="2448" width="28.83203125" bestFit="1" customWidth="1"/>
    <col min="2449" max="2449" width="30.6640625" bestFit="1" customWidth="1"/>
    <col min="2450" max="2450" width="30.33203125" bestFit="1" customWidth="1"/>
    <col min="2451" max="2451" width="31.5" bestFit="1" customWidth="1"/>
    <col min="2452" max="2452" width="29.5" bestFit="1" customWidth="1"/>
    <col min="2453" max="2453" width="28.83203125" bestFit="1" customWidth="1"/>
    <col min="2454" max="2454" width="30.6640625" bestFit="1" customWidth="1"/>
    <col min="2455" max="2455" width="30.33203125" bestFit="1" customWidth="1"/>
    <col min="2456" max="2456" width="31.5" bestFit="1" customWidth="1"/>
    <col min="2457" max="2457" width="29.5" bestFit="1" customWidth="1"/>
    <col min="2458" max="2458" width="28.83203125" bestFit="1" customWidth="1"/>
    <col min="2459" max="2459" width="30.6640625" bestFit="1" customWidth="1"/>
    <col min="2460" max="2460" width="30.33203125" bestFit="1" customWidth="1"/>
    <col min="2461" max="2461" width="31.5" bestFit="1" customWidth="1"/>
    <col min="2462" max="2462" width="29.5" bestFit="1" customWidth="1"/>
    <col min="2463" max="2463" width="28.83203125" bestFit="1" customWidth="1"/>
    <col min="2464" max="2464" width="30.6640625" bestFit="1" customWidth="1"/>
    <col min="2465" max="2465" width="30.33203125" bestFit="1" customWidth="1"/>
    <col min="2466" max="2466" width="31.5" bestFit="1" customWidth="1"/>
    <col min="2467" max="2467" width="29.5" bestFit="1" customWidth="1"/>
    <col min="2468" max="2468" width="28.83203125" bestFit="1" customWidth="1"/>
    <col min="2469" max="2469" width="30.6640625" bestFit="1" customWidth="1"/>
    <col min="2470" max="2470" width="30.33203125" bestFit="1" customWidth="1"/>
    <col min="2471" max="2471" width="31.5" bestFit="1" customWidth="1"/>
    <col min="2472" max="2472" width="29.5" bestFit="1" customWidth="1"/>
    <col min="2473" max="2473" width="28.83203125" bestFit="1" customWidth="1"/>
    <col min="2474" max="2474" width="30.6640625" bestFit="1" customWidth="1"/>
    <col min="2475" max="2475" width="30.33203125" bestFit="1" customWidth="1"/>
    <col min="2476" max="2476" width="31.5" bestFit="1" customWidth="1"/>
    <col min="2477" max="2477" width="29.5" bestFit="1" customWidth="1"/>
    <col min="2478" max="2478" width="28.83203125" bestFit="1" customWidth="1"/>
    <col min="2479" max="2479" width="30.6640625" bestFit="1" customWidth="1"/>
    <col min="2480" max="2480" width="30.33203125" bestFit="1" customWidth="1"/>
    <col min="2481" max="2481" width="31.5" bestFit="1" customWidth="1"/>
    <col min="2482" max="2482" width="29.5" bestFit="1" customWidth="1"/>
    <col min="2483" max="2483" width="28.83203125" bestFit="1" customWidth="1"/>
    <col min="2484" max="2484" width="30.6640625" bestFit="1" customWidth="1"/>
    <col min="2485" max="2485" width="30.33203125" bestFit="1" customWidth="1"/>
    <col min="2486" max="2486" width="31.5" bestFit="1" customWidth="1"/>
    <col min="2487" max="2487" width="29.5" bestFit="1" customWidth="1"/>
    <col min="2488" max="2488" width="28.83203125" bestFit="1" customWidth="1"/>
    <col min="2489" max="2489" width="30.6640625" bestFit="1" customWidth="1"/>
    <col min="2490" max="2490" width="30.33203125" bestFit="1" customWidth="1"/>
    <col min="2491" max="2491" width="31.5" bestFit="1" customWidth="1"/>
    <col min="2492" max="2492" width="29.5" bestFit="1" customWidth="1"/>
    <col min="2493" max="2493" width="28.83203125" bestFit="1" customWidth="1"/>
    <col min="2494" max="2494" width="30.6640625" bestFit="1" customWidth="1"/>
    <col min="2495" max="2495" width="30.33203125" bestFit="1" customWidth="1"/>
    <col min="2496" max="2496" width="31.5" bestFit="1" customWidth="1"/>
    <col min="2497" max="2497" width="29.5" bestFit="1" customWidth="1"/>
    <col min="2498" max="2498" width="28.83203125" bestFit="1" customWidth="1"/>
    <col min="2499" max="2499" width="30.6640625" bestFit="1" customWidth="1"/>
    <col min="2500" max="2500" width="30.33203125" bestFit="1" customWidth="1"/>
    <col min="2501" max="2501" width="31.5" bestFit="1" customWidth="1"/>
    <col min="2502" max="2502" width="29.5" bestFit="1" customWidth="1"/>
    <col min="2503" max="2503" width="28.83203125" bestFit="1" customWidth="1"/>
    <col min="2504" max="2504" width="30.6640625" bestFit="1" customWidth="1"/>
    <col min="2505" max="2505" width="30.33203125" bestFit="1" customWidth="1"/>
    <col min="2506" max="2506" width="31.5" bestFit="1" customWidth="1"/>
    <col min="2507" max="2507" width="29.5" bestFit="1" customWidth="1"/>
    <col min="2508" max="2508" width="28.83203125" bestFit="1" customWidth="1"/>
    <col min="2509" max="2509" width="30.6640625" bestFit="1" customWidth="1"/>
    <col min="2510" max="2510" width="30.33203125" bestFit="1" customWidth="1"/>
    <col min="2511" max="2511" width="31.5" bestFit="1" customWidth="1"/>
    <col min="2512" max="2512" width="29.5" bestFit="1" customWidth="1"/>
    <col min="2513" max="2513" width="28.83203125" bestFit="1" customWidth="1"/>
    <col min="2514" max="2514" width="30.6640625" bestFit="1" customWidth="1"/>
    <col min="2515" max="2515" width="30.33203125" bestFit="1" customWidth="1"/>
    <col min="2516" max="2516" width="31.5" bestFit="1" customWidth="1"/>
    <col min="2517" max="2517" width="29.5" bestFit="1" customWidth="1"/>
    <col min="2518" max="2518" width="28.83203125" bestFit="1" customWidth="1"/>
    <col min="2519" max="2519" width="30.6640625" bestFit="1" customWidth="1"/>
    <col min="2520" max="2520" width="30.33203125" bestFit="1" customWidth="1"/>
    <col min="2521" max="2521" width="31.5" bestFit="1" customWidth="1"/>
    <col min="2522" max="2522" width="33.6640625" bestFit="1" customWidth="1"/>
    <col min="2523" max="2523" width="33" bestFit="1" customWidth="1"/>
    <col min="2524" max="2524" width="34.83203125" bestFit="1" customWidth="1"/>
    <col min="2525" max="2525" width="34.5" bestFit="1" customWidth="1"/>
    <col min="2526" max="2526" width="35.6640625" bestFit="1" customWidth="1"/>
    <col min="2527" max="2527" width="33.1640625" bestFit="1" customWidth="1"/>
    <col min="2528" max="2528" width="35" bestFit="1" customWidth="1"/>
    <col min="2529" max="2529" width="34.6640625" bestFit="1" customWidth="1"/>
    <col min="2530" max="2530" width="29.5" bestFit="1" customWidth="1"/>
    <col min="2531" max="2531" width="28.83203125" bestFit="1" customWidth="1"/>
    <col min="2532" max="2532" width="30.6640625" bestFit="1" customWidth="1"/>
    <col min="2533" max="2533" width="30.33203125" bestFit="1" customWidth="1"/>
    <col min="2534" max="2534" width="33.83203125" bestFit="1" customWidth="1"/>
    <col min="2535" max="2535" width="33.1640625" bestFit="1" customWidth="1"/>
    <col min="2536" max="2536" width="35" bestFit="1" customWidth="1"/>
    <col min="2537" max="2537" width="34.6640625" bestFit="1" customWidth="1"/>
    <col min="2538" max="2538" width="29.5" bestFit="1" customWidth="1"/>
    <col min="2539" max="2539" width="28.83203125" bestFit="1" customWidth="1"/>
    <col min="2540" max="2540" width="30.6640625" bestFit="1" customWidth="1"/>
    <col min="2541" max="2541" width="30.33203125" bestFit="1" customWidth="1"/>
    <col min="2542" max="2542" width="33.83203125" bestFit="1" customWidth="1"/>
    <col min="2543" max="2543" width="33.1640625" bestFit="1" customWidth="1"/>
    <col min="2544" max="2544" width="35" bestFit="1" customWidth="1"/>
    <col min="2545" max="2545" width="34.6640625" bestFit="1" customWidth="1"/>
    <col min="2546" max="2546" width="29.5" bestFit="1" customWidth="1"/>
    <col min="2547" max="2547" width="28.83203125" bestFit="1" customWidth="1"/>
    <col min="2548" max="2548" width="30.6640625" bestFit="1" customWidth="1"/>
    <col min="2549" max="2549" width="30.33203125" bestFit="1" customWidth="1"/>
    <col min="2550" max="2550" width="33.83203125" bestFit="1" customWidth="1"/>
    <col min="2551" max="2551" width="33.1640625" bestFit="1" customWidth="1"/>
    <col min="2552" max="2552" width="35" bestFit="1" customWidth="1"/>
    <col min="2553" max="2553" width="34.6640625" bestFit="1" customWidth="1"/>
    <col min="2554" max="2554" width="29.5" bestFit="1" customWidth="1"/>
    <col min="2555" max="2555" width="28.83203125" bestFit="1" customWidth="1"/>
    <col min="2556" max="2556" width="30.6640625" bestFit="1" customWidth="1"/>
    <col min="2557" max="2557" width="30.33203125" bestFit="1" customWidth="1"/>
    <col min="2558" max="2558" width="33.83203125" bestFit="1" customWidth="1"/>
    <col min="2559" max="2559" width="33.1640625" bestFit="1" customWidth="1"/>
    <col min="2560" max="2560" width="35" bestFit="1" customWidth="1"/>
    <col min="2561" max="2561" width="34.6640625" bestFit="1" customWidth="1"/>
    <col min="2562" max="2562" width="29.5" bestFit="1" customWidth="1"/>
    <col min="2563" max="2563" width="28.83203125" bestFit="1" customWidth="1"/>
    <col min="2564" max="2564" width="30.6640625" bestFit="1" customWidth="1"/>
    <col min="2565" max="2565" width="30.33203125" bestFit="1" customWidth="1"/>
    <col min="2566" max="2566" width="33.83203125" bestFit="1" customWidth="1"/>
    <col min="2567" max="2567" width="33.1640625" bestFit="1" customWidth="1"/>
    <col min="2568" max="2568" width="35" bestFit="1" customWidth="1"/>
    <col min="2569" max="2569" width="34.6640625" bestFit="1" customWidth="1"/>
    <col min="2570" max="2570" width="29.5" bestFit="1" customWidth="1"/>
    <col min="2571" max="2571" width="28.83203125" bestFit="1" customWidth="1"/>
    <col min="2572" max="2572" width="30.6640625" bestFit="1" customWidth="1"/>
    <col min="2573" max="2573" width="30.33203125" bestFit="1" customWidth="1"/>
    <col min="2574" max="2574" width="33.83203125" bestFit="1" customWidth="1"/>
    <col min="2575" max="2575" width="33.1640625" bestFit="1" customWidth="1"/>
    <col min="2576" max="2576" width="35" bestFit="1" customWidth="1"/>
    <col min="2577" max="2577" width="34.6640625" bestFit="1" customWidth="1"/>
    <col min="2578" max="2578" width="29.5" bestFit="1" customWidth="1"/>
    <col min="2579" max="2579" width="28.83203125" bestFit="1" customWidth="1"/>
    <col min="2580" max="2580" width="30.6640625" bestFit="1" customWidth="1"/>
    <col min="2581" max="2581" width="30.33203125" bestFit="1" customWidth="1"/>
    <col min="2582" max="2582" width="33.83203125" bestFit="1" customWidth="1"/>
    <col min="2583" max="2583" width="33.1640625" bestFit="1" customWidth="1"/>
    <col min="2584" max="2584" width="35" bestFit="1" customWidth="1"/>
    <col min="2585" max="2585" width="34.6640625" bestFit="1" customWidth="1"/>
    <col min="2586" max="2586" width="29.5" bestFit="1" customWidth="1"/>
    <col min="2587" max="2587" width="28.83203125" bestFit="1" customWidth="1"/>
    <col min="2588" max="2588" width="30.6640625" bestFit="1" customWidth="1"/>
    <col min="2589" max="2589" width="30.33203125" bestFit="1" customWidth="1"/>
    <col min="2590" max="2590" width="33.83203125" bestFit="1" customWidth="1"/>
    <col min="2591" max="2591" width="33.1640625" bestFit="1" customWidth="1"/>
    <col min="2592" max="2592" width="35" bestFit="1" customWidth="1"/>
    <col min="2593" max="2593" width="34.6640625" bestFit="1" customWidth="1"/>
    <col min="2594" max="2594" width="29.5" bestFit="1" customWidth="1"/>
    <col min="2595" max="2595" width="28.83203125" bestFit="1" customWidth="1"/>
    <col min="2596" max="2596" width="30.6640625" bestFit="1" customWidth="1"/>
    <col min="2597" max="2597" width="30.33203125" bestFit="1" customWidth="1"/>
    <col min="2598" max="2598" width="33.83203125" bestFit="1" customWidth="1"/>
    <col min="2599" max="2599" width="33.1640625" bestFit="1" customWidth="1"/>
    <col min="2600" max="2600" width="35" bestFit="1" customWidth="1"/>
    <col min="2601" max="2601" width="34.6640625" bestFit="1" customWidth="1"/>
    <col min="2602" max="2602" width="29.5" bestFit="1" customWidth="1"/>
    <col min="2603" max="2603" width="28.83203125" bestFit="1" customWidth="1"/>
    <col min="2604" max="2604" width="30.6640625" bestFit="1" customWidth="1"/>
    <col min="2605" max="2605" width="30.33203125" bestFit="1" customWidth="1"/>
    <col min="2606" max="2606" width="33.83203125" bestFit="1" customWidth="1"/>
    <col min="2607" max="2607" width="33.1640625" bestFit="1" customWidth="1"/>
    <col min="2608" max="2608" width="35" bestFit="1" customWidth="1"/>
    <col min="2609" max="2609" width="34.6640625" bestFit="1" customWidth="1"/>
    <col min="2610" max="2610" width="29.5" bestFit="1" customWidth="1"/>
    <col min="2611" max="2611" width="28.83203125" bestFit="1" customWidth="1"/>
    <col min="2612" max="2612" width="30.6640625" bestFit="1" customWidth="1"/>
    <col min="2613" max="2613" width="30.33203125" bestFit="1" customWidth="1"/>
    <col min="2614" max="2614" width="33.83203125" bestFit="1" customWidth="1"/>
    <col min="2615" max="2615" width="33.1640625" bestFit="1" customWidth="1"/>
    <col min="2616" max="2616" width="35" bestFit="1" customWidth="1"/>
    <col min="2617" max="2617" width="34.6640625" bestFit="1" customWidth="1"/>
    <col min="2618" max="2618" width="29.5" bestFit="1" customWidth="1"/>
    <col min="2619" max="2619" width="28.83203125" bestFit="1" customWidth="1"/>
    <col min="2620" max="2620" width="30.6640625" bestFit="1" customWidth="1"/>
    <col min="2621" max="2621" width="30.33203125" bestFit="1" customWidth="1"/>
    <col min="2622" max="2622" width="33.83203125" bestFit="1" customWidth="1"/>
    <col min="2623" max="2623" width="33.1640625" bestFit="1" customWidth="1"/>
    <col min="2624" max="2624" width="35" bestFit="1" customWidth="1"/>
    <col min="2625" max="2625" width="34.6640625" bestFit="1" customWidth="1"/>
    <col min="2626" max="2626" width="29.5" bestFit="1" customWidth="1"/>
    <col min="2627" max="2627" width="28.83203125" bestFit="1" customWidth="1"/>
    <col min="2628" max="2628" width="30.6640625" bestFit="1" customWidth="1"/>
    <col min="2629" max="2629" width="30.33203125" bestFit="1" customWidth="1"/>
    <col min="2630" max="2630" width="33.83203125" bestFit="1" customWidth="1"/>
    <col min="2631" max="2631" width="33.1640625" bestFit="1" customWidth="1"/>
    <col min="2632" max="2632" width="35" bestFit="1" customWidth="1"/>
    <col min="2633" max="2633" width="34.6640625" bestFit="1" customWidth="1"/>
    <col min="2634" max="2634" width="29.5" bestFit="1" customWidth="1"/>
    <col min="2635" max="2635" width="28.83203125" bestFit="1" customWidth="1"/>
    <col min="2636" max="2636" width="30.6640625" bestFit="1" customWidth="1"/>
    <col min="2637" max="2637" width="30.33203125" bestFit="1" customWidth="1"/>
    <col min="2638" max="2638" width="33.83203125" bestFit="1" customWidth="1"/>
    <col min="2639" max="2639" width="33.1640625" bestFit="1" customWidth="1"/>
    <col min="2640" max="2640" width="35" bestFit="1" customWidth="1"/>
    <col min="2641" max="2641" width="34.6640625" bestFit="1" customWidth="1"/>
    <col min="2642" max="2642" width="29.5" bestFit="1" customWidth="1"/>
    <col min="2643" max="2643" width="28.83203125" bestFit="1" customWidth="1"/>
    <col min="2644" max="2644" width="30.6640625" bestFit="1" customWidth="1"/>
    <col min="2645" max="2645" width="30.33203125" bestFit="1" customWidth="1"/>
    <col min="2646" max="2646" width="33.83203125" bestFit="1" customWidth="1"/>
    <col min="2647" max="2647" width="33.1640625" bestFit="1" customWidth="1"/>
    <col min="2648" max="2648" width="35" bestFit="1" customWidth="1"/>
    <col min="2649" max="2649" width="34.6640625" bestFit="1" customWidth="1"/>
    <col min="2650" max="2650" width="29.5" bestFit="1" customWidth="1"/>
    <col min="2651" max="2651" width="28.83203125" bestFit="1" customWidth="1"/>
    <col min="2652" max="2652" width="30.6640625" bestFit="1" customWidth="1"/>
    <col min="2653" max="2653" width="30.33203125" bestFit="1" customWidth="1"/>
    <col min="2654" max="2654" width="33.83203125" bestFit="1" customWidth="1"/>
    <col min="2655" max="2655" width="33.1640625" bestFit="1" customWidth="1"/>
    <col min="2656" max="2656" width="35" bestFit="1" customWidth="1"/>
    <col min="2657" max="2657" width="34.6640625" bestFit="1" customWidth="1"/>
    <col min="2658" max="2658" width="29.5" bestFit="1" customWidth="1"/>
    <col min="2659" max="2659" width="28.83203125" bestFit="1" customWidth="1"/>
    <col min="2660" max="2660" width="30.6640625" bestFit="1" customWidth="1"/>
    <col min="2661" max="2661" width="30.33203125" bestFit="1" customWidth="1"/>
    <col min="2662" max="2662" width="33.83203125" bestFit="1" customWidth="1"/>
    <col min="2663" max="2663" width="33.1640625" bestFit="1" customWidth="1"/>
    <col min="2664" max="2664" width="35" bestFit="1" customWidth="1"/>
    <col min="2665" max="2665" width="34.6640625" bestFit="1" customWidth="1"/>
    <col min="2666" max="2666" width="29.5" bestFit="1" customWidth="1"/>
    <col min="2667" max="2667" width="28.83203125" bestFit="1" customWidth="1"/>
    <col min="2668" max="2668" width="30.6640625" bestFit="1" customWidth="1"/>
    <col min="2669" max="2669" width="30.33203125" bestFit="1" customWidth="1"/>
    <col min="2670" max="2670" width="33.83203125" bestFit="1" customWidth="1"/>
    <col min="2671" max="2671" width="33.1640625" bestFit="1" customWidth="1"/>
    <col min="2672" max="2672" width="35" bestFit="1" customWidth="1"/>
    <col min="2673" max="2673" width="34.6640625" bestFit="1" customWidth="1"/>
    <col min="2674" max="2674" width="29.5" bestFit="1" customWidth="1"/>
    <col min="2675" max="2675" width="28.83203125" bestFit="1" customWidth="1"/>
    <col min="2676" max="2676" width="30.6640625" bestFit="1" customWidth="1"/>
    <col min="2677" max="2677" width="30.33203125" bestFit="1" customWidth="1"/>
    <col min="2678" max="2678" width="33.83203125" bestFit="1" customWidth="1"/>
    <col min="2679" max="2679" width="33.1640625" bestFit="1" customWidth="1"/>
    <col min="2680" max="2680" width="35" bestFit="1" customWidth="1"/>
    <col min="2681" max="2681" width="34.6640625" bestFit="1" customWidth="1"/>
    <col min="2682" max="2682" width="29.5" bestFit="1" customWidth="1"/>
    <col min="2683" max="2683" width="28.83203125" bestFit="1" customWidth="1"/>
    <col min="2684" max="2684" width="30.6640625" bestFit="1" customWidth="1"/>
    <col min="2685" max="2685" width="30.33203125" bestFit="1" customWidth="1"/>
    <col min="2686" max="2686" width="33.83203125" bestFit="1" customWidth="1"/>
    <col min="2687" max="2687" width="33.1640625" bestFit="1" customWidth="1"/>
    <col min="2688" max="2688" width="35" bestFit="1" customWidth="1"/>
    <col min="2689" max="2689" width="34.6640625" bestFit="1" customWidth="1"/>
    <col min="2690" max="2690" width="29.5" bestFit="1" customWidth="1"/>
    <col min="2691" max="2691" width="28.83203125" bestFit="1" customWidth="1"/>
    <col min="2692" max="2692" width="30.6640625" bestFit="1" customWidth="1"/>
    <col min="2693" max="2693" width="30.33203125" bestFit="1" customWidth="1"/>
    <col min="2694" max="2694" width="33.83203125" bestFit="1" customWidth="1"/>
    <col min="2695" max="2695" width="33.1640625" bestFit="1" customWidth="1"/>
    <col min="2696" max="2696" width="35" bestFit="1" customWidth="1"/>
    <col min="2697" max="2697" width="34.6640625" bestFit="1" customWidth="1"/>
    <col min="2698" max="2698" width="29.5" bestFit="1" customWidth="1"/>
    <col min="2699" max="2699" width="28.83203125" bestFit="1" customWidth="1"/>
    <col min="2700" max="2700" width="30.6640625" bestFit="1" customWidth="1"/>
    <col min="2701" max="2701" width="30.33203125" bestFit="1" customWidth="1"/>
    <col min="2702" max="2702" width="33.83203125" bestFit="1" customWidth="1"/>
    <col min="2703" max="2703" width="33.1640625" bestFit="1" customWidth="1"/>
    <col min="2704" max="2704" width="35" bestFit="1" customWidth="1"/>
    <col min="2705" max="2705" width="34.6640625" bestFit="1" customWidth="1"/>
    <col min="2706" max="2706" width="29.5" bestFit="1" customWidth="1"/>
    <col min="2707" max="2707" width="28.83203125" bestFit="1" customWidth="1"/>
    <col min="2708" max="2708" width="30.6640625" bestFit="1" customWidth="1"/>
    <col min="2709" max="2709" width="30.33203125" bestFit="1" customWidth="1"/>
    <col min="2710" max="2710" width="33.83203125" bestFit="1" customWidth="1"/>
    <col min="2711" max="2711" width="33.1640625" bestFit="1" customWidth="1"/>
    <col min="2712" max="2712" width="35" bestFit="1" customWidth="1"/>
    <col min="2713" max="2713" width="34.6640625" bestFit="1" customWidth="1"/>
    <col min="2714" max="2714" width="29.5" bestFit="1" customWidth="1"/>
    <col min="2715" max="2715" width="28.83203125" bestFit="1" customWidth="1"/>
    <col min="2716" max="2716" width="30.6640625" bestFit="1" customWidth="1"/>
    <col min="2717" max="2717" width="30.33203125" bestFit="1" customWidth="1"/>
    <col min="2718" max="2718" width="33.83203125" bestFit="1" customWidth="1"/>
    <col min="2719" max="2719" width="33.1640625" bestFit="1" customWidth="1"/>
    <col min="2720" max="2720" width="35" bestFit="1" customWidth="1"/>
    <col min="2721" max="2721" width="34.6640625" bestFit="1" customWidth="1"/>
    <col min="2722" max="2722" width="29.5" bestFit="1" customWidth="1"/>
    <col min="2723" max="2723" width="28.83203125" bestFit="1" customWidth="1"/>
    <col min="2724" max="2724" width="30.6640625" bestFit="1" customWidth="1"/>
    <col min="2725" max="2725" width="30.33203125" bestFit="1" customWidth="1"/>
    <col min="2726" max="2726" width="33.83203125" bestFit="1" customWidth="1"/>
    <col min="2727" max="2727" width="33.1640625" bestFit="1" customWidth="1"/>
    <col min="2728" max="2728" width="35" bestFit="1" customWidth="1"/>
    <col min="2729" max="2729" width="34.6640625" bestFit="1" customWidth="1"/>
    <col min="2730" max="2730" width="29.5" bestFit="1" customWidth="1"/>
    <col min="2731" max="2731" width="28.83203125" bestFit="1" customWidth="1"/>
    <col min="2732" max="2732" width="30.6640625" bestFit="1" customWidth="1"/>
    <col min="2733" max="2733" width="30.33203125" bestFit="1" customWidth="1"/>
    <col min="2734" max="2734" width="33.83203125" bestFit="1" customWidth="1"/>
    <col min="2735" max="2735" width="33.1640625" bestFit="1" customWidth="1"/>
    <col min="2736" max="2736" width="35" bestFit="1" customWidth="1"/>
    <col min="2737" max="2737" width="34.6640625" bestFit="1" customWidth="1"/>
    <col min="2738" max="2738" width="29.5" bestFit="1" customWidth="1"/>
    <col min="2739" max="2739" width="28.83203125" bestFit="1" customWidth="1"/>
    <col min="2740" max="2740" width="30.6640625" bestFit="1" customWidth="1"/>
    <col min="2741" max="2741" width="30.33203125" bestFit="1" customWidth="1"/>
    <col min="2742" max="2742" width="33.83203125" bestFit="1" customWidth="1"/>
    <col min="2743" max="2743" width="33.1640625" bestFit="1" customWidth="1"/>
    <col min="2744" max="2744" width="35" bestFit="1" customWidth="1"/>
    <col min="2745" max="2745" width="34.6640625" bestFit="1" customWidth="1"/>
    <col min="2746" max="2746" width="29.5" bestFit="1" customWidth="1"/>
    <col min="2747" max="2747" width="28.83203125" bestFit="1" customWidth="1"/>
    <col min="2748" max="2748" width="30.6640625" bestFit="1" customWidth="1"/>
    <col min="2749" max="2749" width="30.33203125" bestFit="1" customWidth="1"/>
    <col min="2750" max="2750" width="33.83203125" bestFit="1" customWidth="1"/>
    <col min="2751" max="2751" width="33.1640625" bestFit="1" customWidth="1"/>
    <col min="2752" max="2752" width="35" bestFit="1" customWidth="1"/>
    <col min="2753" max="2753" width="34.6640625" bestFit="1" customWidth="1"/>
    <col min="2754" max="2754" width="29.5" bestFit="1" customWidth="1"/>
    <col min="2755" max="2755" width="28.83203125" bestFit="1" customWidth="1"/>
    <col min="2756" max="2756" width="30.6640625" bestFit="1" customWidth="1"/>
    <col min="2757" max="2757" width="30.33203125" bestFit="1" customWidth="1"/>
    <col min="2758" max="2758" width="33.83203125" bestFit="1" customWidth="1"/>
    <col min="2759" max="2759" width="33.1640625" bestFit="1" customWidth="1"/>
    <col min="2760" max="2760" width="35" bestFit="1" customWidth="1"/>
    <col min="2761" max="2761" width="34.6640625" bestFit="1" customWidth="1"/>
    <col min="2762" max="2762" width="29.5" bestFit="1" customWidth="1"/>
    <col min="2763" max="2763" width="28.83203125" bestFit="1" customWidth="1"/>
    <col min="2764" max="2764" width="30.6640625" bestFit="1" customWidth="1"/>
    <col min="2765" max="2765" width="30.33203125" bestFit="1" customWidth="1"/>
    <col min="2766" max="2766" width="33.83203125" bestFit="1" customWidth="1"/>
    <col min="2767" max="2767" width="33.1640625" bestFit="1" customWidth="1"/>
    <col min="2768" max="2768" width="35" bestFit="1" customWidth="1"/>
    <col min="2769" max="2769" width="34.6640625" bestFit="1" customWidth="1"/>
    <col min="2770" max="2770" width="29.5" bestFit="1" customWidth="1"/>
    <col min="2771" max="2771" width="28.83203125" bestFit="1" customWidth="1"/>
    <col min="2772" max="2772" width="30.6640625" bestFit="1" customWidth="1"/>
    <col min="2773" max="2773" width="30.33203125" bestFit="1" customWidth="1"/>
    <col min="2774" max="2774" width="33.83203125" bestFit="1" customWidth="1"/>
    <col min="2775" max="2775" width="33.1640625" bestFit="1" customWidth="1"/>
    <col min="2776" max="2776" width="35" bestFit="1" customWidth="1"/>
    <col min="2777" max="2777" width="34.6640625" bestFit="1" customWidth="1"/>
    <col min="2778" max="2778" width="29.5" bestFit="1" customWidth="1"/>
    <col min="2779" max="2779" width="28.83203125" bestFit="1" customWidth="1"/>
    <col min="2780" max="2780" width="30.6640625" bestFit="1" customWidth="1"/>
    <col min="2781" max="2781" width="30.33203125" bestFit="1" customWidth="1"/>
    <col min="2782" max="2782" width="33.83203125" bestFit="1" customWidth="1"/>
    <col min="2783" max="2783" width="33.1640625" bestFit="1" customWidth="1"/>
    <col min="2784" max="2784" width="35" bestFit="1" customWidth="1"/>
    <col min="2785" max="2785" width="34.6640625" bestFit="1" customWidth="1"/>
    <col min="2786" max="2786" width="29.5" bestFit="1" customWidth="1"/>
    <col min="2787" max="2787" width="28.83203125" bestFit="1" customWidth="1"/>
    <col min="2788" max="2788" width="30.6640625" bestFit="1" customWidth="1"/>
    <col min="2789" max="2789" width="30.33203125" bestFit="1" customWidth="1"/>
    <col min="2790" max="2790" width="33.83203125" bestFit="1" customWidth="1"/>
    <col min="2791" max="2791" width="33.1640625" bestFit="1" customWidth="1"/>
    <col min="2792" max="2792" width="35" bestFit="1" customWidth="1"/>
    <col min="2793" max="2793" width="34.6640625" bestFit="1" customWidth="1"/>
    <col min="2794" max="2794" width="29.5" bestFit="1" customWidth="1"/>
    <col min="2795" max="2795" width="28.83203125" bestFit="1" customWidth="1"/>
    <col min="2796" max="2796" width="30.6640625" bestFit="1" customWidth="1"/>
    <col min="2797" max="2797" width="30.33203125" bestFit="1" customWidth="1"/>
    <col min="2798" max="2798" width="33.83203125" bestFit="1" customWidth="1"/>
    <col min="2799" max="2799" width="33.1640625" bestFit="1" customWidth="1"/>
    <col min="2800" max="2800" width="35" bestFit="1" customWidth="1"/>
    <col min="2801" max="2801" width="34.6640625" bestFit="1" customWidth="1"/>
    <col min="2802" max="2802" width="29.5" bestFit="1" customWidth="1"/>
    <col min="2803" max="2803" width="28.83203125" bestFit="1" customWidth="1"/>
    <col min="2804" max="2804" width="30.6640625" bestFit="1" customWidth="1"/>
    <col min="2805" max="2805" width="30.33203125" bestFit="1" customWidth="1"/>
    <col min="2806" max="2806" width="33.83203125" bestFit="1" customWidth="1"/>
    <col min="2807" max="2807" width="33.1640625" bestFit="1" customWidth="1"/>
    <col min="2808" max="2808" width="35" bestFit="1" customWidth="1"/>
    <col min="2809" max="2809" width="34.6640625" bestFit="1" customWidth="1"/>
    <col min="2810" max="2810" width="29.5" bestFit="1" customWidth="1"/>
    <col min="2811" max="2811" width="28.83203125" bestFit="1" customWidth="1"/>
    <col min="2812" max="2812" width="30.6640625" bestFit="1" customWidth="1"/>
    <col min="2813" max="2813" width="30.33203125" bestFit="1" customWidth="1"/>
    <col min="2814" max="2814" width="33.83203125" bestFit="1" customWidth="1"/>
    <col min="2815" max="2815" width="33.1640625" bestFit="1" customWidth="1"/>
    <col min="2816" max="2816" width="35" bestFit="1" customWidth="1"/>
    <col min="2817" max="2817" width="34.6640625" bestFit="1" customWidth="1"/>
    <col min="2818" max="2818" width="29.5" bestFit="1" customWidth="1"/>
    <col min="2819" max="2819" width="28.83203125" bestFit="1" customWidth="1"/>
    <col min="2820" max="2820" width="30.6640625" bestFit="1" customWidth="1"/>
    <col min="2821" max="2821" width="30.33203125" bestFit="1" customWidth="1"/>
    <col min="2822" max="2822" width="33.83203125" bestFit="1" customWidth="1"/>
    <col min="2823" max="2823" width="33.1640625" bestFit="1" customWidth="1"/>
    <col min="2824" max="2824" width="35" bestFit="1" customWidth="1"/>
    <col min="2825" max="2825" width="34.6640625" bestFit="1" customWidth="1"/>
    <col min="2826" max="2826" width="29.5" bestFit="1" customWidth="1"/>
    <col min="2827" max="2827" width="28.83203125" bestFit="1" customWidth="1"/>
    <col min="2828" max="2828" width="30.6640625" bestFit="1" customWidth="1"/>
    <col min="2829" max="2829" width="30.33203125" bestFit="1" customWidth="1"/>
    <col min="2830" max="2830" width="33.83203125" bestFit="1" customWidth="1"/>
    <col min="2831" max="2831" width="33.1640625" bestFit="1" customWidth="1"/>
    <col min="2832" max="2832" width="35" bestFit="1" customWidth="1"/>
    <col min="2833" max="2833" width="34.6640625" bestFit="1" customWidth="1"/>
    <col min="2834" max="2834" width="29.5" bestFit="1" customWidth="1"/>
    <col min="2835" max="2835" width="28.83203125" bestFit="1" customWidth="1"/>
    <col min="2836" max="2836" width="30.6640625" bestFit="1" customWidth="1"/>
    <col min="2837" max="2837" width="30.33203125" bestFit="1" customWidth="1"/>
    <col min="2838" max="2838" width="33.83203125" bestFit="1" customWidth="1"/>
    <col min="2839" max="2839" width="33.1640625" bestFit="1" customWidth="1"/>
    <col min="2840" max="2840" width="35" bestFit="1" customWidth="1"/>
    <col min="2841" max="2841" width="34.6640625" bestFit="1" customWidth="1"/>
    <col min="2842" max="2842" width="29.5" bestFit="1" customWidth="1"/>
    <col min="2843" max="2843" width="28.83203125" bestFit="1" customWidth="1"/>
    <col min="2844" max="2844" width="30.6640625" bestFit="1" customWidth="1"/>
    <col min="2845" max="2845" width="30.33203125" bestFit="1" customWidth="1"/>
    <col min="2846" max="2846" width="34.83203125" bestFit="1" customWidth="1"/>
    <col min="2847" max="2847" width="34" bestFit="1" customWidth="1"/>
    <col min="2848" max="2848" width="35.83203125" bestFit="1" customWidth="1"/>
    <col min="2849" max="2849" width="35.5" bestFit="1" customWidth="1"/>
    <col min="2850" max="2850" width="29.5" bestFit="1" customWidth="1"/>
    <col min="2851" max="2851" width="28.83203125" bestFit="1" customWidth="1"/>
    <col min="2852" max="2852" width="30.6640625" bestFit="1" customWidth="1"/>
    <col min="2853" max="2853" width="30.33203125" bestFit="1" customWidth="1"/>
    <col min="2854" max="2854" width="34.83203125" bestFit="1" customWidth="1"/>
    <col min="2855" max="2855" width="34" bestFit="1" customWidth="1"/>
    <col min="2856" max="2856" width="35.83203125" bestFit="1" customWidth="1"/>
    <col min="2857" max="2857" width="35.5" bestFit="1" customWidth="1"/>
    <col min="2858" max="2858" width="29.5" bestFit="1" customWidth="1"/>
    <col min="2859" max="2859" width="28.83203125" bestFit="1" customWidth="1"/>
    <col min="2860" max="2860" width="30.6640625" bestFit="1" customWidth="1"/>
    <col min="2861" max="2861" width="30.33203125" bestFit="1" customWidth="1"/>
    <col min="2862" max="2862" width="34.83203125" bestFit="1" customWidth="1"/>
    <col min="2863" max="2863" width="34" bestFit="1" customWidth="1"/>
    <col min="2864" max="2864" width="35.83203125" bestFit="1" customWidth="1"/>
    <col min="2865" max="2865" width="35.5" bestFit="1" customWidth="1"/>
    <col min="2866" max="2866" width="29.5" bestFit="1" customWidth="1"/>
    <col min="2867" max="2867" width="28.83203125" bestFit="1" customWidth="1"/>
    <col min="2868" max="2868" width="30.6640625" bestFit="1" customWidth="1"/>
    <col min="2869" max="2869" width="30.33203125" bestFit="1" customWidth="1"/>
    <col min="2870" max="2870" width="34.83203125" bestFit="1" customWidth="1"/>
    <col min="2871" max="2871" width="34" bestFit="1" customWidth="1"/>
    <col min="2872" max="2872" width="35.83203125" bestFit="1" customWidth="1"/>
    <col min="2873" max="2873" width="35.5" bestFit="1" customWidth="1"/>
    <col min="2874" max="2874" width="29.5" bestFit="1" customWidth="1"/>
    <col min="2875" max="2875" width="28.83203125" bestFit="1" customWidth="1"/>
    <col min="2876" max="2876" width="30.6640625" bestFit="1" customWidth="1"/>
    <col min="2877" max="2877" width="30.33203125" bestFit="1" customWidth="1"/>
    <col min="2878" max="2878" width="34.83203125" bestFit="1" customWidth="1"/>
    <col min="2879" max="2879" width="34" bestFit="1" customWidth="1"/>
    <col min="2880" max="2880" width="35.83203125" bestFit="1" customWidth="1"/>
    <col min="2881" max="2881" width="35.5" bestFit="1" customWidth="1"/>
    <col min="2882" max="2882" width="29.5" bestFit="1" customWidth="1"/>
    <col min="2883" max="2883" width="28.83203125" bestFit="1" customWidth="1"/>
    <col min="2884" max="2884" width="30.6640625" bestFit="1" customWidth="1"/>
    <col min="2885" max="2885" width="30.33203125" bestFit="1" customWidth="1"/>
    <col min="2886" max="2886" width="34.83203125" bestFit="1" customWidth="1"/>
    <col min="2887" max="2887" width="34" bestFit="1" customWidth="1"/>
    <col min="2888" max="2888" width="35.83203125" bestFit="1" customWidth="1"/>
    <col min="2889" max="2889" width="35.5" bestFit="1" customWidth="1"/>
    <col min="2890" max="2890" width="29.5" bestFit="1" customWidth="1"/>
    <col min="2891" max="2891" width="28.83203125" bestFit="1" customWidth="1"/>
    <col min="2892" max="2892" width="30.6640625" bestFit="1" customWidth="1"/>
    <col min="2893" max="2893" width="30.33203125" bestFit="1" customWidth="1"/>
    <col min="2894" max="2894" width="34.83203125" bestFit="1" customWidth="1"/>
    <col min="2895" max="2895" width="34" bestFit="1" customWidth="1"/>
    <col min="2896" max="2896" width="35.83203125" bestFit="1" customWidth="1"/>
    <col min="2897" max="2897" width="35.5" bestFit="1" customWidth="1"/>
    <col min="2898" max="2898" width="29.5" bestFit="1" customWidth="1"/>
    <col min="2899" max="2899" width="28.83203125" bestFit="1" customWidth="1"/>
    <col min="2900" max="2900" width="30.6640625" bestFit="1" customWidth="1"/>
    <col min="2901" max="2901" width="30.33203125" bestFit="1" customWidth="1"/>
    <col min="2902" max="2902" width="34.83203125" bestFit="1" customWidth="1"/>
    <col min="2903" max="2903" width="34" bestFit="1" customWidth="1"/>
    <col min="2904" max="2904" width="35.83203125" bestFit="1" customWidth="1"/>
    <col min="2905" max="2905" width="35.5" bestFit="1" customWidth="1"/>
    <col min="2906" max="2906" width="29.5" bestFit="1" customWidth="1"/>
    <col min="2907" max="2907" width="28.83203125" bestFit="1" customWidth="1"/>
    <col min="2908" max="2908" width="30.6640625" bestFit="1" customWidth="1"/>
    <col min="2909" max="2909" width="30.33203125" bestFit="1" customWidth="1"/>
    <col min="2910" max="2910" width="34.83203125" bestFit="1" customWidth="1"/>
    <col min="2911" max="2911" width="34" bestFit="1" customWidth="1"/>
    <col min="2912" max="2912" width="35.83203125" bestFit="1" customWidth="1"/>
    <col min="2913" max="2913" width="35.5" bestFit="1" customWidth="1"/>
    <col min="2914" max="2914" width="29.5" bestFit="1" customWidth="1"/>
    <col min="2915" max="2915" width="28.83203125" bestFit="1" customWidth="1"/>
    <col min="2916" max="2916" width="30.6640625" bestFit="1" customWidth="1"/>
    <col min="2917" max="2917" width="30.33203125" bestFit="1" customWidth="1"/>
    <col min="2918" max="2918" width="34.83203125" bestFit="1" customWidth="1"/>
    <col min="2919" max="2919" width="34" bestFit="1" customWidth="1"/>
    <col min="2920" max="2920" width="35.83203125" bestFit="1" customWidth="1"/>
    <col min="2921" max="2921" width="35.5" bestFit="1" customWidth="1"/>
    <col min="2922" max="2922" width="29.5" bestFit="1" customWidth="1"/>
    <col min="2923" max="2923" width="28.83203125" bestFit="1" customWidth="1"/>
    <col min="2924" max="2924" width="30.6640625" bestFit="1" customWidth="1"/>
    <col min="2925" max="2925" width="30.33203125" bestFit="1" customWidth="1"/>
    <col min="2926" max="2926" width="34.83203125" bestFit="1" customWidth="1"/>
    <col min="2927" max="2927" width="34" bestFit="1" customWidth="1"/>
    <col min="2928" max="2928" width="35.83203125" bestFit="1" customWidth="1"/>
    <col min="2929" max="2929" width="35.5" bestFit="1" customWidth="1"/>
    <col min="2930" max="2930" width="29.5" bestFit="1" customWidth="1"/>
    <col min="2931" max="2931" width="28.83203125" bestFit="1" customWidth="1"/>
    <col min="2932" max="2932" width="30.6640625" bestFit="1" customWidth="1"/>
    <col min="2933" max="2933" width="30.33203125" bestFit="1" customWidth="1"/>
    <col min="2934" max="2934" width="34.83203125" bestFit="1" customWidth="1"/>
    <col min="2935" max="2935" width="34" bestFit="1" customWidth="1"/>
    <col min="2936" max="2936" width="35.83203125" bestFit="1" customWidth="1"/>
    <col min="2937" max="2937" width="35.5" bestFit="1" customWidth="1"/>
    <col min="2938" max="2938" width="29.5" bestFit="1" customWidth="1"/>
    <col min="2939" max="2939" width="28.83203125" bestFit="1" customWidth="1"/>
    <col min="2940" max="2940" width="30.6640625" bestFit="1" customWidth="1"/>
    <col min="2941" max="2941" width="30.33203125" bestFit="1" customWidth="1"/>
    <col min="2942" max="2942" width="34.83203125" bestFit="1" customWidth="1"/>
    <col min="2943" max="2943" width="34" bestFit="1" customWidth="1"/>
    <col min="2944" max="2944" width="35.83203125" bestFit="1" customWidth="1"/>
    <col min="2945" max="2945" width="35.5" bestFit="1" customWidth="1"/>
    <col min="2946" max="2946" width="29.5" bestFit="1" customWidth="1"/>
    <col min="2947" max="2947" width="28.83203125" bestFit="1" customWidth="1"/>
    <col min="2948" max="2948" width="30.6640625" bestFit="1" customWidth="1"/>
    <col min="2949" max="2949" width="30.33203125" bestFit="1" customWidth="1"/>
    <col min="2950" max="2950" width="34.83203125" bestFit="1" customWidth="1"/>
    <col min="2951" max="2951" width="34" bestFit="1" customWidth="1"/>
    <col min="2952" max="2952" width="35.83203125" bestFit="1" customWidth="1"/>
    <col min="2953" max="2953" width="35.5" bestFit="1" customWidth="1"/>
    <col min="2954" max="2954" width="29.5" bestFit="1" customWidth="1"/>
    <col min="2955" max="2955" width="28.83203125" bestFit="1" customWidth="1"/>
    <col min="2956" max="2956" width="30.6640625" bestFit="1" customWidth="1"/>
    <col min="2957" max="2957" width="30.33203125" bestFit="1" customWidth="1"/>
    <col min="2958" max="2958" width="34.83203125" bestFit="1" customWidth="1"/>
    <col min="2959" max="2959" width="34" bestFit="1" customWidth="1"/>
    <col min="2960" max="2960" width="35.83203125" bestFit="1" customWidth="1"/>
    <col min="2961" max="2961" width="35.5" bestFit="1" customWidth="1"/>
    <col min="2962" max="2962" width="29.5" bestFit="1" customWidth="1"/>
    <col min="2963" max="2963" width="28.83203125" bestFit="1" customWidth="1"/>
    <col min="2964" max="2964" width="30.6640625" bestFit="1" customWidth="1"/>
    <col min="2965" max="2965" width="30.33203125" bestFit="1" customWidth="1"/>
    <col min="2966" max="2966" width="34.83203125" bestFit="1" customWidth="1"/>
    <col min="2967" max="2967" width="34" bestFit="1" customWidth="1"/>
    <col min="2968" max="2968" width="35.83203125" bestFit="1" customWidth="1"/>
    <col min="2969" max="2969" width="35.5" bestFit="1" customWidth="1"/>
    <col min="2970" max="2970" width="29.5" bestFit="1" customWidth="1"/>
    <col min="2971" max="2971" width="28.83203125" bestFit="1" customWidth="1"/>
    <col min="2972" max="2972" width="30.6640625" bestFit="1" customWidth="1"/>
    <col min="2973" max="2973" width="30.33203125" bestFit="1" customWidth="1"/>
    <col min="2974" max="2974" width="34.83203125" bestFit="1" customWidth="1"/>
    <col min="2975" max="2975" width="34" bestFit="1" customWidth="1"/>
    <col min="2976" max="2976" width="35.83203125" bestFit="1" customWidth="1"/>
    <col min="2977" max="2977" width="35.5" bestFit="1" customWidth="1"/>
    <col min="2978" max="2978" width="29.5" bestFit="1" customWidth="1"/>
    <col min="2979" max="2979" width="28.83203125" bestFit="1" customWidth="1"/>
    <col min="2980" max="2980" width="30.6640625" bestFit="1" customWidth="1"/>
    <col min="2981" max="2981" width="30.33203125" bestFit="1" customWidth="1"/>
    <col min="2982" max="2982" width="34.83203125" bestFit="1" customWidth="1"/>
    <col min="2983" max="2983" width="34" bestFit="1" customWidth="1"/>
    <col min="2984" max="2984" width="35.83203125" bestFit="1" customWidth="1"/>
    <col min="2985" max="2985" width="35.5" bestFit="1" customWidth="1"/>
    <col min="2986" max="2986" width="29.5" bestFit="1" customWidth="1"/>
    <col min="2987" max="2987" width="28.83203125" bestFit="1" customWidth="1"/>
    <col min="2988" max="2988" width="30.6640625" bestFit="1" customWidth="1"/>
    <col min="2989" max="2989" width="30.33203125" bestFit="1" customWidth="1"/>
    <col min="2990" max="2990" width="34.83203125" bestFit="1" customWidth="1"/>
    <col min="2991" max="2991" width="34" bestFit="1" customWidth="1"/>
    <col min="2992" max="2992" width="35.83203125" bestFit="1" customWidth="1"/>
    <col min="2993" max="2993" width="35.5" bestFit="1" customWidth="1"/>
    <col min="2994" max="2994" width="29.5" bestFit="1" customWidth="1"/>
    <col min="2995" max="2995" width="28.83203125" bestFit="1" customWidth="1"/>
    <col min="2996" max="2996" width="30.6640625" bestFit="1" customWidth="1"/>
    <col min="2997" max="2997" width="30.33203125" bestFit="1" customWidth="1"/>
    <col min="2998" max="2998" width="34.83203125" bestFit="1" customWidth="1"/>
    <col min="2999" max="2999" width="34" bestFit="1" customWidth="1"/>
    <col min="3000" max="3000" width="35.83203125" bestFit="1" customWidth="1"/>
    <col min="3001" max="3001" width="35.5" bestFit="1" customWidth="1"/>
    <col min="3002" max="3002" width="29.5" bestFit="1" customWidth="1"/>
    <col min="3003" max="3003" width="28.83203125" bestFit="1" customWidth="1"/>
    <col min="3004" max="3004" width="30.6640625" bestFit="1" customWidth="1"/>
    <col min="3005" max="3005" width="30.33203125" bestFit="1" customWidth="1"/>
    <col min="3006" max="3006" width="34.83203125" bestFit="1" customWidth="1"/>
    <col min="3007" max="3007" width="34" bestFit="1" customWidth="1"/>
    <col min="3008" max="3008" width="35.83203125" bestFit="1" customWidth="1"/>
    <col min="3009" max="3009" width="35.5" bestFit="1" customWidth="1"/>
    <col min="3010" max="3010" width="29.5" bestFit="1" customWidth="1"/>
    <col min="3011" max="3011" width="28.83203125" bestFit="1" customWidth="1"/>
    <col min="3012" max="3012" width="30.6640625" bestFit="1" customWidth="1"/>
    <col min="3013" max="3013" width="30.33203125" bestFit="1" customWidth="1"/>
    <col min="3014" max="3014" width="34.83203125" bestFit="1" customWidth="1"/>
    <col min="3015" max="3015" width="34" bestFit="1" customWidth="1"/>
    <col min="3016" max="3016" width="35.83203125" bestFit="1" customWidth="1"/>
    <col min="3017" max="3017" width="35.5" bestFit="1" customWidth="1"/>
    <col min="3018" max="3018" width="29.5" bestFit="1" customWidth="1"/>
    <col min="3019" max="3019" width="28.83203125" bestFit="1" customWidth="1"/>
    <col min="3020" max="3020" width="30.6640625" bestFit="1" customWidth="1"/>
    <col min="3021" max="3021" width="30.33203125" bestFit="1" customWidth="1"/>
    <col min="3022" max="3022" width="34.83203125" bestFit="1" customWidth="1"/>
    <col min="3023" max="3023" width="34" bestFit="1" customWidth="1"/>
    <col min="3024" max="3024" width="35.83203125" bestFit="1" customWidth="1"/>
    <col min="3025" max="3025" width="35.5" bestFit="1" customWidth="1"/>
    <col min="3026" max="3026" width="29.5" bestFit="1" customWidth="1"/>
    <col min="3027" max="3027" width="28.83203125" bestFit="1" customWidth="1"/>
    <col min="3028" max="3028" width="30.6640625" bestFit="1" customWidth="1"/>
    <col min="3029" max="3029" width="30.33203125" bestFit="1" customWidth="1"/>
    <col min="3030" max="3030" width="34.83203125" bestFit="1" customWidth="1"/>
    <col min="3031" max="3031" width="34" bestFit="1" customWidth="1"/>
    <col min="3032" max="3032" width="35.83203125" bestFit="1" customWidth="1"/>
    <col min="3033" max="3033" width="35.5" bestFit="1" customWidth="1"/>
    <col min="3034" max="3034" width="29.5" bestFit="1" customWidth="1"/>
    <col min="3035" max="3035" width="28.83203125" bestFit="1" customWidth="1"/>
    <col min="3036" max="3036" width="30.6640625" bestFit="1" customWidth="1"/>
    <col min="3037" max="3037" width="30.33203125" bestFit="1" customWidth="1"/>
    <col min="3038" max="3038" width="34.83203125" bestFit="1" customWidth="1"/>
    <col min="3039" max="3039" width="34" bestFit="1" customWidth="1"/>
    <col min="3040" max="3040" width="35.83203125" bestFit="1" customWidth="1"/>
    <col min="3041" max="3041" width="35.5" bestFit="1" customWidth="1"/>
    <col min="3042" max="3042" width="29.5" bestFit="1" customWidth="1"/>
    <col min="3043" max="3043" width="28.83203125" bestFit="1" customWidth="1"/>
    <col min="3044" max="3044" width="30.6640625" bestFit="1" customWidth="1"/>
    <col min="3045" max="3045" width="30.33203125" bestFit="1" customWidth="1"/>
    <col min="3046" max="3046" width="34.83203125" bestFit="1" customWidth="1"/>
    <col min="3047" max="3047" width="34" bestFit="1" customWidth="1"/>
    <col min="3048" max="3048" width="35.83203125" bestFit="1" customWidth="1"/>
    <col min="3049" max="3049" width="35.5" bestFit="1" customWidth="1"/>
    <col min="3050" max="3050" width="29.5" bestFit="1" customWidth="1"/>
    <col min="3051" max="3051" width="28.83203125" bestFit="1" customWidth="1"/>
    <col min="3052" max="3052" width="30.6640625" bestFit="1" customWidth="1"/>
    <col min="3053" max="3053" width="30.33203125" bestFit="1" customWidth="1"/>
    <col min="3054" max="3054" width="34.83203125" bestFit="1" customWidth="1"/>
    <col min="3055" max="3055" width="34" bestFit="1" customWidth="1"/>
    <col min="3056" max="3056" width="35.83203125" bestFit="1" customWidth="1"/>
    <col min="3057" max="3057" width="35.5" bestFit="1" customWidth="1"/>
    <col min="3058" max="3058" width="29.5" bestFit="1" customWidth="1"/>
    <col min="3059" max="3059" width="28.83203125" bestFit="1" customWidth="1"/>
    <col min="3060" max="3060" width="30.6640625" bestFit="1" customWidth="1"/>
    <col min="3061" max="3061" width="30.33203125" bestFit="1" customWidth="1"/>
    <col min="3062" max="3062" width="34.83203125" bestFit="1" customWidth="1"/>
    <col min="3063" max="3063" width="34" bestFit="1" customWidth="1"/>
    <col min="3064" max="3064" width="35.83203125" bestFit="1" customWidth="1"/>
    <col min="3065" max="3065" width="35.5" bestFit="1" customWidth="1"/>
    <col min="3066" max="3066" width="29.5" bestFit="1" customWidth="1"/>
    <col min="3067" max="3067" width="28.83203125" bestFit="1" customWidth="1"/>
    <col min="3068" max="3068" width="30.6640625" bestFit="1" customWidth="1"/>
    <col min="3069" max="3069" width="30.33203125" bestFit="1" customWidth="1"/>
    <col min="3070" max="3070" width="34.83203125" bestFit="1" customWidth="1"/>
    <col min="3071" max="3071" width="34" bestFit="1" customWidth="1"/>
    <col min="3072" max="3072" width="35.83203125" bestFit="1" customWidth="1"/>
    <col min="3073" max="3073" width="35.5" bestFit="1" customWidth="1"/>
    <col min="3074" max="3074" width="29.5" bestFit="1" customWidth="1"/>
    <col min="3075" max="3075" width="28.83203125" bestFit="1" customWidth="1"/>
    <col min="3076" max="3076" width="30.6640625" bestFit="1" customWidth="1"/>
    <col min="3077" max="3077" width="30.33203125" bestFit="1" customWidth="1"/>
    <col min="3078" max="3078" width="34.83203125" bestFit="1" customWidth="1"/>
    <col min="3079" max="3079" width="34" bestFit="1" customWidth="1"/>
    <col min="3080" max="3080" width="35.83203125" bestFit="1" customWidth="1"/>
    <col min="3081" max="3081" width="35.5" bestFit="1" customWidth="1"/>
    <col min="3082" max="3082" width="29.5" bestFit="1" customWidth="1"/>
    <col min="3083" max="3083" width="28.83203125" bestFit="1" customWidth="1"/>
    <col min="3084" max="3084" width="30.6640625" bestFit="1" customWidth="1"/>
    <col min="3085" max="3085" width="30.33203125" bestFit="1" customWidth="1"/>
    <col min="3086" max="3086" width="34.83203125" bestFit="1" customWidth="1"/>
    <col min="3087" max="3087" width="34" bestFit="1" customWidth="1"/>
    <col min="3088" max="3088" width="35.83203125" bestFit="1" customWidth="1"/>
    <col min="3089" max="3089" width="35.5" bestFit="1" customWidth="1"/>
    <col min="3090" max="3090" width="29.5" bestFit="1" customWidth="1"/>
    <col min="3091" max="3091" width="28.83203125" bestFit="1" customWidth="1"/>
    <col min="3092" max="3092" width="30.6640625" bestFit="1" customWidth="1"/>
    <col min="3093" max="3093" width="30.33203125" bestFit="1" customWidth="1"/>
    <col min="3094" max="3094" width="34.83203125" bestFit="1" customWidth="1"/>
    <col min="3095" max="3095" width="34" bestFit="1" customWidth="1"/>
    <col min="3096" max="3096" width="35.83203125" bestFit="1" customWidth="1"/>
    <col min="3097" max="3097" width="35.5" bestFit="1" customWidth="1"/>
    <col min="3098" max="3098" width="29.5" bestFit="1" customWidth="1"/>
    <col min="3099" max="3099" width="28.83203125" bestFit="1" customWidth="1"/>
    <col min="3100" max="3100" width="30.6640625" bestFit="1" customWidth="1"/>
    <col min="3101" max="3101" width="30.33203125" bestFit="1" customWidth="1"/>
    <col min="3102" max="3102" width="34.83203125" bestFit="1" customWidth="1"/>
    <col min="3103" max="3103" width="34" bestFit="1" customWidth="1"/>
    <col min="3104" max="3104" width="35.83203125" bestFit="1" customWidth="1"/>
    <col min="3105" max="3105" width="35.5" bestFit="1" customWidth="1"/>
    <col min="3106" max="3106" width="29.5" bestFit="1" customWidth="1"/>
    <col min="3107" max="3107" width="28.83203125" bestFit="1" customWidth="1"/>
    <col min="3108" max="3108" width="30.6640625" bestFit="1" customWidth="1"/>
    <col min="3109" max="3109" width="30.33203125" bestFit="1" customWidth="1"/>
    <col min="3110" max="3110" width="34.83203125" bestFit="1" customWidth="1"/>
    <col min="3111" max="3111" width="34" bestFit="1" customWidth="1"/>
    <col min="3112" max="3112" width="35.83203125" bestFit="1" customWidth="1"/>
    <col min="3113" max="3113" width="35.5" bestFit="1" customWidth="1"/>
    <col min="3114" max="3114" width="29.5" bestFit="1" customWidth="1"/>
    <col min="3115" max="3115" width="28.83203125" bestFit="1" customWidth="1"/>
    <col min="3116" max="3116" width="30.6640625" bestFit="1" customWidth="1"/>
    <col min="3117" max="3117" width="30.33203125" bestFit="1" customWidth="1"/>
    <col min="3118" max="3118" width="34.83203125" bestFit="1" customWidth="1"/>
    <col min="3119" max="3119" width="34" bestFit="1" customWidth="1"/>
    <col min="3120" max="3120" width="35.83203125" bestFit="1" customWidth="1"/>
    <col min="3121" max="3121" width="35.5" bestFit="1" customWidth="1"/>
    <col min="3122" max="3122" width="29.5" bestFit="1" customWidth="1"/>
    <col min="3123" max="3123" width="28.83203125" bestFit="1" customWidth="1"/>
    <col min="3124" max="3124" width="30.6640625" bestFit="1" customWidth="1"/>
    <col min="3125" max="3125" width="30.33203125" bestFit="1" customWidth="1"/>
    <col min="3126" max="3126" width="34.83203125" bestFit="1" customWidth="1"/>
    <col min="3127" max="3127" width="34" bestFit="1" customWidth="1"/>
    <col min="3128" max="3128" width="35.83203125" bestFit="1" customWidth="1"/>
    <col min="3129" max="3129" width="35.5" bestFit="1" customWidth="1"/>
    <col min="3130" max="3130" width="29.5" bestFit="1" customWidth="1"/>
    <col min="3131" max="3131" width="28.83203125" bestFit="1" customWidth="1"/>
    <col min="3132" max="3132" width="30.6640625" bestFit="1" customWidth="1"/>
    <col min="3133" max="3133" width="30.33203125" bestFit="1" customWidth="1"/>
    <col min="3134" max="3134" width="34.83203125" bestFit="1" customWidth="1"/>
    <col min="3135" max="3135" width="34" bestFit="1" customWidth="1"/>
    <col min="3136" max="3136" width="35.83203125" bestFit="1" customWidth="1"/>
    <col min="3137" max="3137" width="35.5" bestFit="1" customWidth="1"/>
    <col min="3138" max="3138" width="29.5" bestFit="1" customWidth="1"/>
    <col min="3139" max="3139" width="28.83203125" bestFit="1" customWidth="1"/>
    <col min="3140" max="3140" width="30.6640625" bestFit="1" customWidth="1"/>
    <col min="3141" max="3141" width="30.33203125" bestFit="1" customWidth="1"/>
    <col min="3142" max="3142" width="34.83203125" bestFit="1" customWidth="1"/>
    <col min="3143" max="3143" width="34" bestFit="1" customWidth="1"/>
    <col min="3144" max="3144" width="35.83203125" bestFit="1" customWidth="1"/>
    <col min="3145" max="3145" width="35.5" bestFit="1" customWidth="1"/>
    <col min="3146" max="3146" width="29.5" bestFit="1" customWidth="1"/>
    <col min="3147" max="3147" width="28.83203125" bestFit="1" customWidth="1"/>
    <col min="3148" max="3148" width="30.6640625" bestFit="1" customWidth="1"/>
    <col min="3149" max="3149" width="30.33203125" bestFit="1" customWidth="1"/>
    <col min="3150" max="3150" width="34.83203125" bestFit="1" customWidth="1"/>
    <col min="3151" max="3151" width="34" bestFit="1" customWidth="1"/>
    <col min="3152" max="3152" width="35.83203125" bestFit="1" customWidth="1"/>
    <col min="3153" max="3153" width="35.5" bestFit="1" customWidth="1"/>
    <col min="3154" max="3154" width="29.5" bestFit="1" customWidth="1"/>
    <col min="3155" max="3155" width="28.83203125" bestFit="1" customWidth="1"/>
    <col min="3156" max="3156" width="30.6640625" bestFit="1" customWidth="1"/>
    <col min="3157" max="3157" width="30.33203125" bestFit="1" customWidth="1"/>
    <col min="3158" max="3158" width="34.83203125" bestFit="1" customWidth="1"/>
    <col min="3159" max="3159" width="34" bestFit="1" customWidth="1"/>
    <col min="3160" max="3160" width="35.83203125" bestFit="1" customWidth="1"/>
    <col min="3161" max="3161" width="35.5" bestFit="1" customWidth="1"/>
    <col min="3162" max="3162" width="29.5" bestFit="1" customWidth="1"/>
    <col min="3163" max="3163" width="28.83203125" bestFit="1" customWidth="1"/>
    <col min="3164" max="3164" width="30.6640625" bestFit="1" customWidth="1"/>
    <col min="3165" max="3165" width="30.33203125" bestFit="1" customWidth="1"/>
    <col min="3166" max="3166" width="34.83203125" bestFit="1" customWidth="1"/>
    <col min="3167" max="3167" width="34" bestFit="1" customWidth="1"/>
    <col min="3168" max="3168" width="35.83203125" bestFit="1" customWidth="1"/>
    <col min="3169" max="3169" width="35.5" bestFit="1" customWidth="1"/>
    <col min="3170" max="3170" width="29.5" bestFit="1" customWidth="1"/>
    <col min="3171" max="3171" width="28.83203125" bestFit="1" customWidth="1"/>
    <col min="3172" max="3172" width="30.6640625" bestFit="1" customWidth="1"/>
    <col min="3173" max="3173" width="30.33203125" bestFit="1" customWidth="1"/>
    <col min="3174" max="3174" width="34.83203125" bestFit="1" customWidth="1"/>
    <col min="3175" max="3175" width="34" bestFit="1" customWidth="1"/>
    <col min="3176" max="3176" width="35.83203125" bestFit="1" customWidth="1"/>
    <col min="3177" max="3177" width="35.5" bestFit="1" customWidth="1"/>
    <col min="3178" max="3178" width="29.5" bestFit="1" customWidth="1"/>
    <col min="3179" max="3179" width="28.83203125" bestFit="1" customWidth="1"/>
    <col min="3180" max="3180" width="30.6640625" bestFit="1" customWidth="1"/>
    <col min="3181" max="3181" width="30.33203125" bestFit="1" customWidth="1"/>
    <col min="3182" max="3182" width="34.83203125" bestFit="1" customWidth="1"/>
    <col min="3183" max="3183" width="34" bestFit="1" customWidth="1"/>
    <col min="3184" max="3184" width="35.83203125" bestFit="1" customWidth="1"/>
    <col min="3185" max="3185" width="35.5" bestFit="1" customWidth="1"/>
    <col min="3186" max="3186" width="29.5" bestFit="1" customWidth="1"/>
    <col min="3187" max="3187" width="28.83203125" bestFit="1" customWidth="1"/>
    <col min="3188" max="3188" width="30.6640625" bestFit="1" customWidth="1"/>
    <col min="3189" max="3189" width="30.33203125" bestFit="1" customWidth="1"/>
    <col min="3190" max="3190" width="34.83203125" bestFit="1" customWidth="1"/>
    <col min="3191" max="3191" width="34" bestFit="1" customWidth="1"/>
    <col min="3192" max="3192" width="35.83203125" bestFit="1" customWidth="1"/>
    <col min="3193" max="3193" width="35.5" bestFit="1" customWidth="1"/>
    <col min="3194" max="3194" width="29.5" bestFit="1" customWidth="1"/>
    <col min="3195" max="3195" width="28.83203125" bestFit="1" customWidth="1"/>
    <col min="3196" max="3196" width="30.6640625" bestFit="1" customWidth="1"/>
    <col min="3197" max="3197" width="30.33203125" bestFit="1" customWidth="1"/>
    <col min="3198" max="3198" width="34.83203125" bestFit="1" customWidth="1"/>
    <col min="3199" max="3199" width="34" bestFit="1" customWidth="1"/>
    <col min="3200" max="3200" width="35.83203125" bestFit="1" customWidth="1"/>
    <col min="3201" max="3201" width="35.5" bestFit="1" customWidth="1"/>
    <col min="3202" max="3202" width="29.5" bestFit="1" customWidth="1"/>
    <col min="3203" max="3203" width="28.83203125" bestFit="1" customWidth="1"/>
    <col min="3204" max="3204" width="30.6640625" bestFit="1" customWidth="1"/>
    <col min="3205" max="3205" width="30.33203125" bestFit="1" customWidth="1"/>
    <col min="3206" max="3206" width="34.83203125" bestFit="1" customWidth="1"/>
    <col min="3207" max="3207" width="34" bestFit="1" customWidth="1"/>
    <col min="3208" max="3208" width="35.83203125" bestFit="1" customWidth="1"/>
    <col min="3209" max="3209" width="35.5" bestFit="1" customWidth="1"/>
    <col min="3210" max="3210" width="29.5" bestFit="1" customWidth="1"/>
    <col min="3211" max="3211" width="28.83203125" bestFit="1" customWidth="1"/>
    <col min="3212" max="3212" width="30.6640625" bestFit="1" customWidth="1"/>
    <col min="3213" max="3213" width="30.33203125" bestFit="1" customWidth="1"/>
    <col min="3214" max="3214" width="34.83203125" bestFit="1" customWidth="1"/>
    <col min="3215" max="3215" width="34" bestFit="1" customWidth="1"/>
    <col min="3216" max="3216" width="35.83203125" bestFit="1" customWidth="1"/>
    <col min="3217" max="3217" width="35.5" bestFit="1" customWidth="1"/>
    <col min="3218" max="3218" width="29.5" bestFit="1" customWidth="1"/>
    <col min="3219" max="3219" width="28.83203125" bestFit="1" customWidth="1"/>
    <col min="3220" max="3220" width="30.6640625" bestFit="1" customWidth="1"/>
    <col min="3221" max="3221" width="30.33203125" bestFit="1" customWidth="1"/>
    <col min="3222" max="3222" width="34.83203125" bestFit="1" customWidth="1"/>
    <col min="3223" max="3223" width="34" bestFit="1" customWidth="1"/>
    <col min="3224" max="3224" width="35.83203125" bestFit="1" customWidth="1"/>
    <col min="3225" max="3225" width="35.5" bestFit="1" customWidth="1"/>
    <col min="3226" max="3226" width="29.5" bestFit="1" customWidth="1"/>
    <col min="3227" max="3227" width="28.83203125" bestFit="1" customWidth="1"/>
    <col min="3228" max="3228" width="30.6640625" bestFit="1" customWidth="1"/>
    <col min="3229" max="3229" width="30.33203125" bestFit="1" customWidth="1"/>
    <col min="3230" max="3230" width="34.83203125" bestFit="1" customWidth="1"/>
    <col min="3231" max="3231" width="34" bestFit="1" customWidth="1"/>
    <col min="3232" max="3232" width="35.83203125" bestFit="1" customWidth="1"/>
    <col min="3233" max="3233" width="35.5" bestFit="1" customWidth="1"/>
    <col min="3234" max="3234" width="29.5" bestFit="1" customWidth="1"/>
    <col min="3235" max="3235" width="28.83203125" bestFit="1" customWidth="1"/>
    <col min="3236" max="3236" width="30.6640625" bestFit="1" customWidth="1"/>
    <col min="3237" max="3237" width="30.33203125" bestFit="1" customWidth="1"/>
    <col min="3238" max="3238" width="34.83203125" bestFit="1" customWidth="1"/>
    <col min="3239" max="3239" width="34" bestFit="1" customWidth="1"/>
    <col min="3240" max="3240" width="35.83203125" bestFit="1" customWidth="1"/>
    <col min="3241" max="3241" width="35.5" bestFit="1" customWidth="1"/>
    <col min="3242" max="3242" width="29.5" bestFit="1" customWidth="1"/>
    <col min="3243" max="3243" width="28.83203125" bestFit="1" customWidth="1"/>
    <col min="3244" max="3244" width="30.6640625" bestFit="1" customWidth="1"/>
    <col min="3245" max="3245" width="30.33203125" bestFit="1" customWidth="1"/>
    <col min="3246" max="3246" width="34.83203125" bestFit="1" customWidth="1"/>
    <col min="3247" max="3247" width="34" bestFit="1" customWidth="1"/>
    <col min="3248" max="3248" width="35.83203125" bestFit="1" customWidth="1"/>
    <col min="3249" max="3249" width="35.5" bestFit="1" customWidth="1"/>
    <col min="3250" max="3250" width="29.5" bestFit="1" customWidth="1"/>
    <col min="3251" max="3251" width="28.83203125" bestFit="1" customWidth="1"/>
    <col min="3252" max="3252" width="30.6640625" bestFit="1" customWidth="1"/>
    <col min="3253" max="3253" width="30.33203125" bestFit="1" customWidth="1"/>
    <col min="3254" max="3254" width="34.83203125" bestFit="1" customWidth="1"/>
    <col min="3255" max="3255" width="34" bestFit="1" customWidth="1"/>
    <col min="3256" max="3256" width="35.83203125" bestFit="1" customWidth="1"/>
    <col min="3257" max="3257" width="35.5" bestFit="1" customWidth="1"/>
    <col min="3258" max="3258" width="29.5" bestFit="1" customWidth="1"/>
    <col min="3259" max="3259" width="28.83203125" bestFit="1" customWidth="1"/>
    <col min="3260" max="3260" width="30.6640625" bestFit="1" customWidth="1"/>
    <col min="3261" max="3261" width="30.33203125" bestFit="1" customWidth="1"/>
    <col min="3262" max="3262" width="34.83203125" bestFit="1" customWidth="1"/>
    <col min="3263" max="3263" width="34" bestFit="1" customWidth="1"/>
    <col min="3264" max="3264" width="35.83203125" bestFit="1" customWidth="1"/>
    <col min="3265" max="3265" width="35.5" bestFit="1" customWidth="1"/>
    <col min="3266" max="3266" width="29.5" bestFit="1" customWidth="1"/>
    <col min="3267" max="3267" width="28.83203125" bestFit="1" customWidth="1"/>
    <col min="3268" max="3268" width="30.6640625" bestFit="1" customWidth="1"/>
    <col min="3269" max="3269" width="30.33203125" bestFit="1" customWidth="1"/>
    <col min="3270" max="3270" width="34.83203125" bestFit="1" customWidth="1"/>
    <col min="3271" max="3271" width="34" bestFit="1" customWidth="1"/>
    <col min="3272" max="3272" width="35.83203125" bestFit="1" customWidth="1"/>
    <col min="3273" max="3273" width="35.5" bestFit="1" customWidth="1"/>
    <col min="3274" max="3274" width="29.5" bestFit="1" customWidth="1"/>
    <col min="3275" max="3275" width="28.83203125" bestFit="1" customWidth="1"/>
    <col min="3276" max="3276" width="30.6640625" bestFit="1" customWidth="1"/>
    <col min="3277" max="3277" width="30.33203125" bestFit="1" customWidth="1"/>
    <col min="3278" max="3278" width="34.83203125" bestFit="1" customWidth="1"/>
    <col min="3279" max="3279" width="34" bestFit="1" customWidth="1"/>
    <col min="3280" max="3280" width="35.83203125" bestFit="1" customWidth="1"/>
    <col min="3281" max="3281" width="35.5" bestFit="1" customWidth="1"/>
    <col min="3282" max="3282" width="29.5" bestFit="1" customWidth="1"/>
    <col min="3283" max="3283" width="28.83203125" bestFit="1" customWidth="1"/>
    <col min="3284" max="3284" width="30.6640625" bestFit="1" customWidth="1"/>
    <col min="3285" max="3285" width="30.33203125" bestFit="1" customWidth="1"/>
    <col min="3286" max="3286" width="34.83203125" bestFit="1" customWidth="1"/>
    <col min="3287" max="3287" width="34" bestFit="1" customWidth="1"/>
    <col min="3288" max="3288" width="35.83203125" bestFit="1" customWidth="1"/>
    <col min="3289" max="3289" width="35.5" bestFit="1" customWidth="1"/>
    <col min="3290" max="3290" width="29.5" bestFit="1" customWidth="1"/>
    <col min="3291" max="3291" width="28.83203125" bestFit="1" customWidth="1"/>
    <col min="3292" max="3292" width="30.6640625" bestFit="1" customWidth="1"/>
    <col min="3293" max="3293" width="30.33203125" bestFit="1" customWidth="1"/>
    <col min="3294" max="3294" width="29.5" bestFit="1" customWidth="1"/>
    <col min="3295" max="3295" width="28.83203125" bestFit="1" customWidth="1"/>
    <col min="3296" max="3296" width="30.6640625" bestFit="1" customWidth="1"/>
    <col min="3297" max="3297" width="30.33203125" bestFit="1" customWidth="1"/>
    <col min="3298" max="3298" width="34.83203125" bestFit="1" customWidth="1"/>
    <col min="3299" max="3299" width="34" bestFit="1" customWidth="1"/>
    <col min="3300" max="3300" width="35.83203125" bestFit="1" customWidth="1"/>
    <col min="3301" max="3301" width="35.5" bestFit="1" customWidth="1"/>
    <col min="3302" max="3302" width="29.5" bestFit="1" customWidth="1"/>
    <col min="3303" max="3303" width="28.83203125" bestFit="1" customWidth="1"/>
    <col min="3304" max="3304" width="30.6640625" bestFit="1" customWidth="1"/>
    <col min="3305" max="3305" width="30.33203125" bestFit="1" customWidth="1"/>
    <col min="3306" max="3306" width="34.83203125" bestFit="1" customWidth="1"/>
    <col min="3307" max="3307" width="34" bestFit="1" customWidth="1"/>
    <col min="3308" max="3308" width="35.83203125" bestFit="1" customWidth="1"/>
    <col min="3309" max="3309" width="35.5" bestFit="1" customWidth="1"/>
    <col min="3310" max="3310" width="29.5" bestFit="1" customWidth="1"/>
    <col min="3311" max="3311" width="28.83203125" bestFit="1" customWidth="1"/>
    <col min="3312" max="3312" width="30.6640625" bestFit="1" customWidth="1"/>
    <col min="3313" max="3313" width="30.33203125" bestFit="1" customWidth="1"/>
    <col min="3314" max="3314" width="34.83203125" bestFit="1" customWidth="1"/>
    <col min="3315" max="3315" width="34" bestFit="1" customWidth="1"/>
    <col min="3316" max="3316" width="35.83203125" bestFit="1" customWidth="1"/>
    <col min="3317" max="3317" width="35.5" bestFit="1" customWidth="1"/>
    <col min="3318" max="3318" width="29.5" bestFit="1" customWidth="1"/>
    <col min="3319" max="3319" width="28.83203125" bestFit="1" customWidth="1"/>
    <col min="3320" max="3320" width="30.6640625" bestFit="1" customWidth="1"/>
    <col min="3321" max="3321" width="30.33203125" bestFit="1" customWidth="1"/>
    <col min="3322" max="3322" width="34.83203125" bestFit="1" customWidth="1"/>
    <col min="3323" max="3323" width="34" bestFit="1" customWidth="1"/>
    <col min="3324" max="3324" width="35.83203125" bestFit="1" customWidth="1"/>
    <col min="3325" max="3325" width="35.5" bestFit="1" customWidth="1"/>
    <col min="3326" max="3326" width="29.5" bestFit="1" customWidth="1"/>
    <col min="3327" max="3327" width="28.83203125" bestFit="1" customWidth="1"/>
    <col min="3328" max="3328" width="30.6640625" bestFit="1" customWidth="1"/>
    <col min="3329" max="3329" width="30.33203125" bestFit="1" customWidth="1"/>
    <col min="3330" max="3330" width="34.83203125" bestFit="1" customWidth="1"/>
    <col min="3331" max="3331" width="34" bestFit="1" customWidth="1"/>
    <col min="3332" max="3332" width="35.83203125" bestFit="1" customWidth="1"/>
    <col min="3333" max="3333" width="35.5" bestFit="1" customWidth="1"/>
    <col min="3334" max="3334" width="29.5" bestFit="1" customWidth="1"/>
    <col min="3335" max="3335" width="28.83203125" bestFit="1" customWidth="1"/>
    <col min="3336" max="3336" width="30.6640625" bestFit="1" customWidth="1"/>
    <col min="3337" max="3337" width="30.33203125" bestFit="1" customWidth="1"/>
    <col min="3338" max="3338" width="34.83203125" bestFit="1" customWidth="1"/>
    <col min="3339" max="3339" width="34" bestFit="1" customWidth="1"/>
    <col min="3340" max="3340" width="35.83203125" bestFit="1" customWidth="1"/>
    <col min="3341" max="3341" width="35.5" bestFit="1" customWidth="1"/>
    <col min="3342" max="3342" width="29.5" bestFit="1" customWidth="1"/>
    <col min="3343" max="3343" width="28.83203125" bestFit="1" customWidth="1"/>
    <col min="3344" max="3344" width="30.6640625" bestFit="1" customWidth="1"/>
    <col min="3345" max="3345" width="30.33203125" bestFit="1" customWidth="1"/>
    <col min="3346" max="3346" width="34.83203125" bestFit="1" customWidth="1"/>
    <col min="3347" max="3347" width="34" bestFit="1" customWidth="1"/>
    <col min="3348" max="3348" width="35.83203125" bestFit="1" customWidth="1"/>
    <col min="3349" max="3349" width="35.5" bestFit="1" customWidth="1"/>
    <col min="3350" max="3350" width="29.5" bestFit="1" customWidth="1"/>
    <col min="3351" max="3351" width="28.83203125" bestFit="1" customWidth="1"/>
    <col min="3352" max="3352" width="30.6640625" bestFit="1" customWidth="1"/>
    <col min="3353" max="3353" width="30.33203125" bestFit="1" customWidth="1"/>
    <col min="3354" max="3354" width="34.83203125" bestFit="1" customWidth="1"/>
    <col min="3355" max="3355" width="34" bestFit="1" customWidth="1"/>
    <col min="3356" max="3356" width="35.83203125" bestFit="1" customWidth="1"/>
    <col min="3357" max="3357" width="35.5" bestFit="1" customWidth="1"/>
    <col min="3358" max="3358" width="29.5" bestFit="1" customWidth="1"/>
    <col min="3359" max="3359" width="28.83203125" bestFit="1" customWidth="1"/>
    <col min="3360" max="3360" width="30.6640625" bestFit="1" customWidth="1"/>
    <col min="3361" max="3361" width="30.33203125" bestFit="1" customWidth="1"/>
    <col min="3362" max="3362" width="34.83203125" bestFit="1" customWidth="1"/>
    <col min="3363" max="3363" width="34" bestFit="1" customWidth="1"/>
    <col min="3364" max="3364" width="35.83203125" bestFit="1" customWidth="1"/>
    <col min="3365" max="3365" width="35.5" bestFit="1" customWidth="1"/>
    <col min="3366" max="3366" width="29.5" bestFit="1" customWidth="1"/>
    <col min="3367" max="3367" width="28.83203125" bestFit="1" customWidth="1"/>
    <col min="3368" max="3368" width="30.6640625" bestFit="1" customWidth="1"/>
    <col min="3369" max="3369" width="30.33203125" bestFit="1" customWidth="1"/>
    <col min="3370" max="3370" width="34.83203125" bestFit="1" customWidth="1"/>
    <col min="3371" max="3371" width="34" bestFit="1" customWidth="1"/>
    <col min="3372" max="3372" width="35.83203125" bestFit="1" customWidth="1"/>
    <col min="3373" max="3373" width="35.5" bestFit="1" customWidth="1"/>
    <col min="3374" max="3374" width="29.5" bestFit="1" customWidth="1"/>
    <col min="3375" max="3375" width="28.83203125" bestFit="1" customWidth="1"/>
    <col min="3376" max="3376" width="30.6640625" bestFit="1" customWidth="1"/>
    <col min="3377" max="3377" width="30.33203125" bestFit="1" customWidth="1"/>
    <col min="3378" max="3378" width="34.83203125" bestFit="1" customWidth="1"/>
    <col min="3379" max="3379" width="34" bestFit="1" customWidth="1"/>
    <col min="3380" max="3380" width="35.83203125" bestFit="1" customWidth="1"/>
    <col min="3381" max="3381" width="35.5" bestFit="1" customWidth="1"/>
    <col min="3382" max="3382" width="29.5" bestFit="1" customWidth="1"/>
    <col min="3383" max="3383" width="28.83203125" bestFit="1" customWidth="1"/>
    <col min="3384" max="3384" width="30.6640625" bestFit="1" customWidth="1"/>
    <col min="3385" max="3385" width="30.33203125" bestFit="1" customWidth="1"/>
    <col min="3386" max="3386" width="34.83203125" bestFit="1" customWidth="1"/>
    <col min="3387" max="3387" width="34" bestFit="1" customWidth="1"/>
    <col min="3388" max="3388" width="35.83203125" bestFit="1" customWidth="1"/>
    <col min="3389" max="3389" width="35.5" bestFit="1" customWidth="1"/>
    <col min="3390" max="3390" width="29.5" bestFit="1" customWidth="1"/>
    <col min="3391" max="3391" width="28.83203125" bestFit="1" customWidth="1"/>
    <col min="3392" max="3392" width="30.6640625" bestFit="1" customWidth="1"/>
    <col min="3393" max="3393" width="30.33203125" bestFit="1" customWidth="1"/>
    <col min="3394" max="3394" width="34.83203125" bestFit="1" customWidth="1"/>
    <col min="3395" max="3395" width="34" bestFit="1" customWidth="1"/>
    <col min="3396" max="3396" width="35.83203125" bestFit="1" customWidth="1"/>
    <col min="3397" max="3397" width="35.5" bestFit="1" customWidth="1"/>
    <col min="3398" max="3398" width="29.5" bestFit="1" customWidth="1"/>
    <col min="3399" max="3399" width="28.83203125" bestFit="1" customWidth="1"/>
    <col min="3400" max="3400" width="30.6640625" bestFit="1" customWidth="1"/>
    <col min="3401" max="3401" width="30.33203125" bestFit="1" customWidth="1"/>
    <col min="3402" max="3402" width="34.83203125" bestFit="1" customWidth="1"/>
    <col min="3403" max="3403" width="34" bestFit="1" customWidth="1"/>
    <col min="3404" max="3404" width="35.83203125" bestFit="1" customWidth="1"/>
    <col min="3405" max="3405" width="35.5" bestFit="1" customWidth="1"/>
    <col min="3406" max="3406" width="29.5" bestFit="1" customWidth="1"/>
    <col min="3407" max="3407" width="28.83203125" bestFit="1" customWidth="1"/>
    <col min="3408" max="3408" width="30.6640625" bestFit="1" customWidth="1"/>
    <col min="3409" max="3409" width="30.33203125" bestFit="1" customWidth="1"/>
    <col min="3410" max="3410" width="34.83203125" bestFit="1" customWidth="1"/>
    <col min="3411" max="3411" width="34" bestFit="1" customWidth="1"/>
    <col min="3412" max="3412" width="35.83203125" bestFit="1" customWidth="1"/>
    <col min="3413" max="3413" width="35.5" bestFit="1" customWidth="1"/>
    <col min="3414" max="3414" width="29.5" bestFit="1" customWidth="1"/>
    <col min="3415" max="3415" width="28.83203125" bestFit="1" customWidth="1"/>
    <col min="3416" max="3416" width="30.6640625" bestFit="1" customWidth="1"/>
    <col min="3417" max="3417" width="30.33203125" bestFit="1" customWidth="1"/>
    <col min="3418" max="3418" width="34.83203125" bestFit="1" customWidth="1"/>
    <col min="3419" max="3419" width="34" bestFit="1" customWidth="1"/>
    <col min="3420" max="3420" width="35.83203125" bestFit="1" customWidth="1"/>
    <col min="3421" max="3421" width="35.5" bestFit="1" customWidth="1"/>
    <col min="3422" max="3422" width="29.5" bestFit="1" customWidth="1"/>
    <col min="3423" max="3423" width="28.83203125" bestFit="1" customWidth="1"/>
    <col min="3424" max="3424" width="30.6640625" bestFit="1" customWidth="1"/>
    <col min="3425" max="3425" width="30.33203125" bestFit="1" customWidth="1"/>
    <col min="3426" max="3426" width="34.83203125" bestFit="1" customWidth="1"/>
    <col min="3427" max="3427" width="34" bestFit="1" customWidth="1"/>
    <col min="3428" max="3428" width="35.83203125" bestFit="1" customWidth="1"/>
    <col min="3429" max="3429" width="35.5" bestFit="1" customWidth="1"/>
    <col min="3430" max="3430" width="29.5" bestFit="1" customWidth="1"/>
    <col min="3431" max="3431" width="28.83203125" bestFit="1" customWidth="1"/>
    <col min="3432" max="3432" width="30.6640625" bestFit="1" customWidth="1"/>
    <col min="3433" max="3433" width="30.33203125" bestFit="1" customWidth="1"/>
    <col min="3434" max="3434" width="34.83203125" bestFit="1" customWidth="1"/>
    <col min="3435" max="3435" width="34" bestFit="1" customWidth="1"/>
    <col min="3436" max="3436" width="35.83203125" bestFit="1" customWidth="1"/>
    <col min="3437" max="3437" width="35.5" bestFit="1" customWidth="1"/>
    <col min="3438" max="3438" width="29.5" bestFit="1" customWidth="1"/>
    <col min="3439" max="3439" width="28.83203125" bestFit="1" customWidth="1"/>
    <col min="3440" max="3440" width="30.6640625" bestFit="1" customWidth="1"/>
    <col min="3441" max="3441" width="30.33203125" bestFit="1" customWidth="1"/>
    <col min="3442" max="3442" width="34.83203125" bestFit="1" customWidth="1"/>
    <col min="3443" max="3443" width="34" bestFit="1" customWidth="1"/>
    <col min="3444" max="3444" width="35.83203125" bestFit="1" customWidth="1"/>
    <col min="3445" max="3445" width="35.5" bestFit="1" customWidth="1"/>
    <col min="3446" max="3446" width="29.5" bestFit="1" customWidth="1"/>
    <col min="3447" max="3447" width="28.83203125" bestFit="1" customWidth="1"/>
    <col min="3448" max="3448" width="30.6640625" bestFit="1" customWidth="1"/>
    <col min="3449" max="3449" width="30.33203125" bestFit="1" customWidth="1"/>
    <col min="3450" max="3450" width="34.83203125" bestFit="1" customWidth="1"/>
    <col min="3451" max="3451" width="34" bestFit="1" customWidth="1"/>
    <col min="3452" max="3452" width="35.83203125" bestFit="1" customWidth="1"/>
    <col min="3453" max="3453" width="35.5" bestFit="1" customWidth="1"/>
    <col min="3454" max="3454" width="29.5" bestFit="1" customWidth="1"/>
    <col min="3455" max="3455" width="28.83203125" bestFit="1" customWidth="1"/>
    <col min="3456" max="3456" width="30.6640625" bestFit="1" customWidth="1"/>
    <col min="3457" max="3457" width="30.33203125" bestFit="1" customWidth="1"/>
    <col min="3458" max="3458" width="34.83203125" bestFit="1" customWidth="1"/>
    <col min="3459" max="3459" width="34" bestFit="1" customWidth="1"/>
    <col min="3460" max="3460" width="35.83203125" bestFit="1" customWidth="1"/>
    <col min="3461" max="3461" width="35.5" bestFit="1" customWidth="1"/>
    <col min="3462" max="3462" width="29.5" bestFit="1" customWidth="1"/>
    <col min="3463" max="3463" width="28.83203125" bestFit="1" customWidth="1"/>
    <col min="3464" max="3464" width="30.6640625" bestFit="1" customWidth="1"/>
    <col min="3465" max="3465" width="30.33203125" bestFit="1" customWidth="1"/>
    <col min="3466" max="3466" width="34.83203125" bestFit="1" customWidth="1"/>
    <col min="3467" max="3467" width="34" bestFit="1" customWidth="1"/>
    <col min="3468" max="3468" width="35.83203125" bestFit="1" customWidth="1"/>
    <col min="3469" max="3469" width="35.5" bestFit="1" customWidth="1"/>
    <col min="3470" max="3470" width="29.5" bestFit="1" customWidth="1"/>
    <col min="3471" max="3471" width="28.83203125" bestFit="1" customWidth="1"/>
    <col min="3472" max="3472" width="30.6640625" bestFit="1" customWidth="1"/>
    <col min="3473" max="3473" width="30.33203125" bestFit="1" customWidth="1"/>
    <col min="3474" max="3474" width="34.83203125" bestFit="1" customWidth="1"/>
    <col min="3475" max="3475" width="34" bestFit="1" customWidth="1"/>
    <col min="3476" max="3476" width="35.83203125" bestFit="1" customWidth="1"/>
    <col min="3477" max="3477" width="35.5" bestFit="1" customWidth="1"/>
    <col min="3478" max="3478" width="29.5" bestFit="1" customWidth="1"/>
    <col min="3479" max="3479" width="28.83203125" bestFit="1" customWidth="1"/>
    <col min="3480" max="3480" width="30.6640625" bestFit="1" customWidth="1"/>
    <col min="3481" max="3481" width="30.33203125" bestFit="1" customWidth="1"/>
    <col min="3482" max="3482" width="34.83203125" bestFit="1" customWidth="1"/>
    <col min="3483" max="3483" width="34" bestFit="1" customWidth="1"/>
    <col min="3484" max="3484" width="35.83203125" bestFit="1" customWidth="1"/>
    <col min="3485" max="3485" width="35.5" bestFit="1" customWidth="1"/>
    <col min="3486" max="3486" width="29.5" bestFit="1" customWidth="1"/>
    <col min="3487" max="3487" width="28.83203125" bestFit="1" customWidth="1"/>
    <col min="3488" max="3488" width="30.6640625" bestFit="1" customWidth="1"/>
    <col min="3489" max="3489" width="30.33203125" bestFit="1" customWidth="1"/>
    <col min="3490" max="3490" width="34.83203125" bestFit="1" customWidth="1"/>
    <col min="3491" max="3491" width="34" bestFit="1" customWidth="1"/>
    <col min="3492" max="3492" width="35.83203125" bestFit="1" customWidth="1"/>
    <col min="3493" max="3493" width="35.5" bestFit="1" customWidth="1"/>
    <col min="3494" max="3494" width="29.5" bestFit="1" customWidth="1"/>
    <col min="3495" max="3495" width="28.83203125" bestFit="1" customWidth="1"/>
    <col min="3496" max="3496" width="30.6640625" bestFit="1" customWidth="1"/>
    <col min="3497" max="3497" width="30.33203125" bestFit="1" customWidth="1"/>
    <col min="3498" max="3498" width="34.83203125" bestFit="1" customWidth="1"/>
    <col min="3499" max="3499" width="34" bestFit="1" customWidth="1"/>
    <col min="3500" max="3500" width="35.83203125" bestFit="1" customWidth="1"/>
    <col min="3501" max="3501" width="35.5" bestFit="1" customWidth="1"/>
    <col min="3502" max="3502" width="29.5" bestFit="1" customWidth="1"/>
    <col min="3503" max="3503" width="28.83203125" bestFit="1" customWidth="1"/>
    <col min="3504" max="3504" width="30.6640625" bestFit="1" customWidth="1"/>
    <col min="3505" max="3505" width="30.33203125" bestFit="1" customWidth="1"/>
    <col min="3506" max="3506" width="34.83203125" bestFit="1" customWidth="1"/>
    <col min="3507" max="3507" width="34" bestFit="1" customWidth="1"/>
    <col min="3508" max="3508" width="35.83203125" bestFit="1" customWidth="1"/>
    <col min="3509" max="3509" width="35.5" bestFit="1" customWidth="1"/>
    <col min="3510" max="3510" width="29.5" bestFit="1" customWidth="1"/>
    <col min="3511" max="3511" width="28.83203125" bestFit="1" customWidth="1"/>
    <col min="3512" max="3512" width="30.6640625" bestFit="1" customWidth="1"/>
    <col min="3513" max="3513" width="30.33203125" bestFit="1" customWidth="1"/>
    <col min="3514" max="3514" width="34.83203125" bestFit="1" customWidth="1"/>
    <col min="3515" max="3515" width="34" bestFit="1" customWidth="1"/>
    <col min="3516" max="3516" width="35.83203125" bestFit="1" customWidth="1"/>
    <col min="3517" max="3517" width="35.5" bestFit="1" customWidth="1"/>
    <col min="3518" max="3518" width="29.5" bestFit="1" customWidth="1"/>
    <col min="3519" max="3519" width="28.83203125" bestFit="1" customWidth="1"/>
    <col min="3520" max="3520" width="30.6640625" bestFit="1" customWidth="1"/>
    <col min="3521" max="3521" width="30.33203125" bestFit="1" customWidth="1"/>
    <col min="3522" max="3522" width="34.83203125" bestFit="1" customWidth="1"/>
    <col min="3523" max="3523" width="34" bestFit="1" customWidth="1"/>
    <col min="3524" max="3524" width="35.83203125" bestFit="1" customWidth="1"/>
    <col min="3525" max="3525" width="35.5" bestFit="1" customWidth="1"/>
    <col min="3526" max="3526" width="29.5" bestFit="1" customWidth="1"/>
    <col min="3527" max="3527" width="28.83203125" bestFit="1" customWidth="1"/>
    <col min="3528" max="3528" width="30.6640625" bestFit="1" customWidth="1"/>
    <col min="3529" max="3529" width="30.33203125" bestFit="1" customWidth="1"/>
    <col min="3530" max="3530" width="34.83203125" bestFit="1" customWidth="1"/>
    <col min="3531" max="3531" width="34" bestFit="1" customWidth="1"/>
    <col min="3532" max="3532" width="35.83203125" bestFit="1" customWidth="1"/>
    <col min="3533" max="3533" width="35.5" bestFit="1" customWidth="1"/>
    <col min="3534" max="3534" width="29.5" bestFit="1" customWidth="1"/>
    <col min="3535" max="3535" width="28.83203125" bestFit="1" customWidth="1"/>
    <col min="3536" max="3536" width="30.6640625" bestFit="1" customWidth="1"/>
    <col min="3537" max="3537" width="30.33203125" bestFit="1" customWidth="1"/>
    <col min="3538" max="3538" width="34.83203125" bestFit="1" customWidth="1"/>
    <col min="3539" max="3539" width="34" bestFit="1" customWidth="1"/>
    <col min="3540" max="3540" width="35.83203125" bestFit="1" customWidth="1"/>
    <col min="3541" max="3541" width="35.5" bestFit="1" customWidth="1"/>
    <col min="3542" max="3542" width="29.5" bestFit="1" customWidth="1"/>
    <col min="3543" max="3543" width="28.83203125" bestFit="1" customWidth="1"/>
    <col min="3544" max="3544" width="30.6640625" bestFit="1" customWidth="1"/>
    <col min="3545" max="3545" width="30.33203125" bestFit="1" customWidth="1"/>
    <col min="3546" max="3546" width="34.83203125" bestFit="1" customWidth="1"/>
    <col min="3547" max="3547" width="34" bestFit="1" customWidth="1"/>
    <col min="3548" max="3548" width="35.83203125" bestFit="1" customWidth="1"/>
    <col min="3549" max="3549" width="35.5" bestFit="1" customWidth="1"/>
    <col min="3550" max="3550" width="29.5" bestFit="1" customWidth="1"/>
    <col min="3551" max="3551" width="28.83203125" bestFit="1" customWidth="1"/>
    <col min="3552" max="3552" width="30.6640625" bestFit="1" customWidth="1"/>
    <col min="3553" max="3553" width="30.33203125" bestFit="1" customWidth="1"/>
    <col min="3554" max="3554" width="34.83203125" bestFit="1" customWidth="1"/>
    <col min="3555" max="3555" width="34" bestFit="1" customWidth="1"/>
    <col min="3556" max="3556" width="35.83203125" bestFit="1" customWidth="1"/>
    <col min="3557" max="3557" width="35.5" bestFit="1" customWidth="1"/>
    <col min="3558" max="3558" width="29.5" bestFit="1" customWidth="1"/>
    <col min="3559" max="3559" width="28.83203125" bestFit="1" customWidth="1"/>
    <col min="3560" max="3560" width="30.6640625" bestFit="1" customWidth="1"/>
    <col min="3561" max="3561" width="30.33203125" bestFit="1" customWidth="1"/>
    <col min="3562" max="3562" width="34.83203125" bestFit="1" customWidth="1"/>
    <col min="3563" max="3563" width="34" bestFit="1" customWidth="1"/>
    <col min="3564" max="3564" width="35.83203125" bestFit="1" customWidth="1"/>
    <col min="3565" max="3565" width="35.5" bestFit="1" customWidth="1"/>
    <col min="3566" max="3566" width="29.5" bestFit="1" customWidth="1"/>
    <col min="3567" max="3567" width="28.83203125" bestFit="1" customWidth="1"/>
    <col min="3568" max="3568" width="30.6640625" bestFit="1" customWidth="1"/>
    <col min="3569" max="3569" width="30.33203125" bestFit="1" customWidth="1"/>
    <col min="3570" max="3570" width="34.83203125" bestFit="1" customWidth="1"/>
    <col min="3571" max="3571" width="34" bestFit="1" customWidth="1"/>
    <col min="3572" max="3572" width="35.83203125" bestFit="1" customWidth="1"/>
    <col min="3573" max="3573" width="35.5" bestFit="1" customWidth="1"/>
    <col min="3574" max="3574" width="29.5" bestFit="1" customWidth="1"/>
    <col min="3575" max="3575" width="28.83203125" bestFit="1" customWidth="1"/>
    <col min="3576" max="3576" width="30.6640625" bestFit="1" customWidth="1"/>
    <col min="3577" max="3577" width="30.33203125" bestFit="1" customWidth="1"/>
    <col min="3578" max="3578" width="34.83203125" bestFit="1" customWidth="1"/>
    <col min="3579" max="3579" width="34" bestFit="1" customWidth="1"/>
    <col min="3580" max="3580" width="35.83203125" bestFit="1" customWidth="1"/>
    <col min="3581" max="3581" width="35.5" bestFit="1" customWidth="1"/>
    <col min="3582" max="3582" width="29.5" bestFit="1" customWidth="1"/>
    <col min="3583" max="3583" width="28.83203125" bestFit="1" customWidth="1"/>
    <col min="3584" max="3584" width="30.6640625" bestFit="1" customWidth="1"/>
    <col min="3585" max="3585" width="30.33203125" bestFit="1" customWidth="1"/>
    <col min="3586" max="3586" width="34.83203125" bestFit="1" customWidth="1"/>
    <col min="3587" max="3587" width="34" bestFit="1" customWidth="1"/>
    <col min="3588" max="3588" width="35.83203125" bestFit="1" customWidth="1"/>
    <col min="3589" max="3589" width="35.5" bestFit="1" customWidth="1"/>
    <col min="3590" max="3590" width="29.5" bestFit="1" customWidth="1"/>
    <col min="3591" max="3591" width="28.83203125" bestFit="1" customWidth="1"/>
    <col min="3592" max="3592" width="30.6640625" bestFit="1" customWidth="1"/>
    <col min="3593" max="3593" width="30.33203125" bestFit="1" customWidth="1"/>
    <col min="3594" max="3594" width="34.83203125" bestFit="1" customWidth="1"/>
    <col min="3595" max="3595" width="34" bestFit="1" customWidth="1"/>
    <col min="3596" max="3596" width="35.83203125" bestFit="1" customWidth="1"/>
    <col min="3597" max="3597" width="35.5" bestFit="1" customWidth="1"/>
    <col min="3598" max="3598" width="29.5" bestFit="1" customWidth="1"/>
    <col min="3599" max="3599" width="28.83203125" bestFit="1" customWidth="1"/>
    <col min="3600" max="3600" width="30.6640625" bestFit="1" customWidth="1"/>
    <col min="3601" max="3601" width="30.33203125" bestFit="1" customWidth="1"/>
    <col min="3602" max="3602" width="34.83203125" bestFit="1" customWidth="1"/>
    <col min="3603" max="3603" width="34" bestFit="1" customWidth="1"/>
    <col min="3604" max="3604" width="35.83203125" bestFit="1" customWidth="1"/>
    <col min="3605" max="3605" width="35.5" bestFit="1" customWidth="1"/>
    <col min="3606" max="3606" width="29.5" bestFit="1" customWidth="1"/>
    <col min="3607" max="3607" width="28.83203125" bestFit="1" customWidth="1"/>
    <col min="3608" max="3608" width="30.6640625" bestFit="1" customWidth="1"/>
    <col min="3609" max="3609" width="30.33203125" bestFit="1" customWidth="1"/>
    <col min="3610" max="3610" width="34.83203125" bestFit="1" customWidth="1"/>
    <col min="3611" max="3611" width="34" bestFit="1" customWidth="1"/>
    <col min="3612" max="3612" width="35.83203125" bestFit="1" customWidth="1"/>
    <col min="3613" max="3613" width="35.5" bestFit="1" customWidth="1"/>
    <col min="3614" max="3614" width="29.5" bestFit="1" customWidth="1"/>
    <col min="3615" max="3615" width="28.83203125" bestFit="1" customWidth="1"/>
    <col min="3616" max="3616" width="30.6640625" bestFit="1" customWidth="1"/>
    <col min="3617" max="3617" width="30.33203125" bestFit="1" customWidth="1"/>
    <col min="3618" max="3618" width="34.83203125" bestFit="1" customWidth="1"/>
    <col min="3619" max="3619" width="34" bestFit="1" customWidth="1"/>
    <col min="3620" max="3620" width="35.83203125" bestFit="1" customWidth="1"/>
    <col min="3621" max="3621" width="35.5" bestFit="1" customWidth="1"/>
    <col min="3622" max="3622" width="29.5" bestFit="1" customWidth="1"/>
    <col min="3623" max="3623" width="28.83203125" bestFit="1" customWidth="1"/>
    <col min="3624" max="3624" width="30.6640625" bestFit="1" customWidth="1"/>
    <col min="3625" max="3625" width="30.33203125" bestFit="1" customWidth="1"/>
    <col min="3626" max="3626" width="34.83203125" bestFit="1" customWidth="1"/>
    <col min="3627" max="3627" width="34" bestFit="1" customWidth="1"/>
    <col min="3628" max="3628" width="35.83203125" bestFit="1" customWidth="1"/>
    <col min="3629" max="3629" width="35.5" bestFit="1" customWidth="1"/>
    <col min="3630" max="3630" width="29.5" bestFit="1" customWidth="1"/>
    <col min="3631" max="3631" width="28.83203125" bestFit="1" customWidth="1"/>
    <col min="3632" max="3632" width="30.6640625" bestFit="1" customWidth="1"/>
    <col min="3633" max="3633" width="30.33203125" bestFit="1" customWidth="1"/>
    <col min="3634" max="3634" width="29.5" bestFit="1" customWidth="1"/>
    <col min="3635" max="3635" width="28.83203125" bestFit="1" customWidth="1"/>
    <col min="3636" max="3636" width="30.6640625" bestFit="1" customWidth="1"/>
    <col min="3637" max="3637" width="30.33203125" bestFit="1" customWidth="1"/>
    <col min="3638" max="3638" width="34.83203125" bestFit="1" customWidth="1"/>
    <col min="3639" max="3639" width="34" bestFit="1" customWidth="1"/>
    <col min="3640" max="3640" width="35.83203125" bestFit="1" customWidth="1"/>
    <col min="3641" max="3641" width="35.5" bestFit="1" customWidth="1"/>
    <col min="3642" max="3642" width="29.5" bestFit="1" customWidth="1"/>
    <col min="3643" max="3643" width="28.83203125" bestFit="1" customWidth="1"/>
    <col min="3644" max="3644" width="30.6640625" bestFit="1" customWidth="1"/>
    <col min="3645" max="3645" width="30.33203125" bestFit="1" customWidth="1"/>
    <col min="3646" max="3646" width="34.83203125" bestFit="1" customWidth="1"/>
    <col min="3647" max="3647" width="34" bestFit="1" customWidth="1"/>
    <col min="3648" max="3648" width="35.83203125" bestFit="1" customWidth="1"/>
    <col min="3649" max="3649" width="35.5" bestFit="1" customWidth="1"/>
    <col min="3650" max="3650" width="29.5" bestFit="1" customWidth="1"/>
    <col min="3651" max="3651" width="28.83203125" bestFit="1" customWidth="1"/>
    <col min="3652" max="3652" width="30.6640625" bestFit="1" customWidth="1"/>
    <col min="3653" max="3653" width="30.33203125" bestFit="1" customWidth="1"/>
    <col min="3654" max="3654" width="34.83203125" bestFit="1" customWidth="1"/>
    <col min="3655" max="3655" width="34" bestFit="1" customWidth="1"/>
    <col min="3656" max="3656" width="35.83203125" bestFit="1" customWidth="1"/>
    <col min="3657" max="3657" width="35.5" bestFit="1" customWidth="1"/>
    <col min="3658" max="3658" width="29.5" bestFit="1" customWidth="1"/>
    <col min="3659" max="3659" width="28.83203125" bestFit="1" customWidth="1"/>
    <col min="3660" max="3660" width="30.6640625" bestFit="1" customWidth="1"/>
    <col min="3661" max="3661" width="30.33203125" bestFit="1" customWidth="1"/>
    <col min="3662" max="3662" width="34.83203125" bestFit="1" customWidth="1"/>
    <col min="3663" max="3663" width="34" bestFit="1" customWidth="1"/>
    <col min="3664" max="3664" width="35.83203125" bestFit="1" customWidth="1"/>
    <col min="3665" max="3665" width="35.5" bestFit="1" customWidth="1"/>
    <col min="3666" max="3666" width="29.5" bestFit="1" customWidth="1"/>
    <col min="3667" max="3667" width="28.83203125" bestFit="1" customWidth="1"/>
    <col min="3668" max="3668" width="30.6640625" bestFit="1" customWidth="1"/>
    <col min="3669" max="3669" width="30.33203125" bestFit="1" customWidth="1"/>
    <col min="3670" max="3670" width="34.83203125" bestFit="1" customWidth="1"/>
    <col min="3671" max="3671" width="34" bestFit="1" customWidth="1"/>
    <col min="3672" max="3672" width="35.83203125" bestFit="1" customWidth="1"/>
    <col min="3673" max="3673" width="35.5" bestFit="1" customWidth="1"/>
    <col min="3674" max="3674" width="29.5" bestFit="1" customWidth="1"/>
    <col min="3675" max="3675" width="28.83203125" bestFit="1" customWidth="1"/>
    <col min="3676" max="3676" width="30.6640625" bestFit="1" customWidth="1"/>
    <col min="3677" max="3677" width="30.33203125" bestFit="1" customWidth="1"/>
    <col min="3678" max="3678" width="34.83203125" bestFit="1" customWidth="1"/>
    <col min="3679" max="3679" width="34" bestFit="1" customWidth="1"/>
    <col min="3680" max="3680" width="35.83203125" bestFit="1" customWidth="1"/>
    <col min="3681" max="3681" width="35.5" bestFit="1" customWidth="1"/>
    <col min="3682" max="3682" width="29.5" bestFit="1" customWidth="1"/>
    <col min="3683" max="3683" width="28.83203125" bestFit="1" customWidth="1"/>
    <col min="3684" max="3684" width="30.6640625" bestFit="1" customWidth="1"/>
    <col min="3685" max="3685" width="30.33203125" bestFit="1" customWidth="1"/>
    <col min="3686" max="3686" width="34.83203125" bestFit="1" customWidth="1"/>
    <col min="3687" max="3687" width="34" bestFit="1" customWidth="1"/>
    <col min="3688" max="3688" width="35.83203125" bestFit="1" customWidth="1"/>
    <col min="3689" max="3689" width="35.5" bestFit="1" customWidth="1"/>
    <col min="3690" max="3690" width="29.5" bestFit="1" customWidth="1"/>
    <col min="3691" max="3691" width="28.83203125" bestFit="1" customWidth="1"/>
    <col min="3692" max="3692" width="30.6640625" bestFit="1" customWidth="1"/>
    <col min="3693" max="3693" width="30.33203125" bestFit="1" customWidth="1"/>
    <col min="3694" max="3694" width="34.83203125" bestFit="1" customWidth="1"/>
    <col min="3695" max="3695" width="34" bestFit="1" customWidth="1"/>
    <col min="3696" max="3696" width="35.83203125" bestFit="1" customWidth="1"/>
    <col min="3697" max="3697" width="35.5" bestFit="1" customWidth="1"/>
    <col min="3698" max="3698" width="29.5" bestFit="1" customWidth="1"/>
    <col min="3699" max="3699" width="28.83203125" bestFit="1" customWidth="1"/>
    <col min="3700" max="3700" width="30.6640625" bestFit="1" customWidth="1"/>
    <col min="3701" max="3701" width="30.33203125" bestFit="1" customWidth="1"/>
    <col min="3702" max="3702" width="34.83203125" bestFit="1" customWidth="1"/>
    <col min="3703" max="3703" width="34" bestFit="1" customWidth="1"/>
    <col min="3704" max="3704" width="35.83203125" bestFit="1" customWidth="1"/>
    <col min="3705" max="3705" width="35.5" bestFit="1" customWidth="1"/>
    <col min="3706" max="3706" width="29.5" bestFit="1" customWidth="1"/>
    <col min="3707" max="3707" width="28.83203125" bestFit="1" customWidth="1"/>
    <col min="3708" max="3708" width="30.6640625" bestFit="1" customWidth="1"/>
    <col min="3709" max="3709" width="30.33203125" bestFit="1" customWidth="1"/>
    <col min="3710" max="3710" width="34.83203125" bestFit="1" customWidth="1"/>
    <col min="3711" max="3711" width="34" bestFit="1" customWidth="1"/>
    <col min="3712" max="3712" width="35.83203125" bestFit="1" customWidth="1"/>
    <col min="3713" max="3713" width="35.5" bestFit="1" customWidth="1"/>
    <col min="3714" max="3714" width="29.5" bestFit="1" customWidth="1"/>
    <col min="3715" max="3715" width="28.83203125" bestFit="1" customWidth="1"/>
    <col min="3716" max="3716" width="30.6640625" bestFit="1" customWidth="1"/>
    <col min="3717" max="3717" width="30.33203125" bestFit="1" customWidth="1"/>
    <col min="3718" max="3718" width="34.83203125" bestFit="1" customWidth="1"/>
    <col min="3719" max="3719" width="34" bestFit="1" customWidth="1"/>
    <col min="3720" max="3720" width="35.83203125" bestFit="1" customWidth="1"/>
    <col min="3721" max="3721" width="35.5" bestFit="1" customWidth="1"/>
    <col min="3722" max="3722" width="29.5" bestFit="1" customWidth="1"/>
    <col min="3723" max="3723" width="28.83203125" bestFit="1" customWidth="1"/>
    <col min="3724" max="3724" width="30.6640625" bestFit="1" customWidth="1"/>
    <col min="3725" max="3725" width="30.33203125" bestFit="1" customWidth="1"/>
    <col min="3726" max="3726" width="34.83203125" bestFit="1" customWidth="1"/>
    <col min="3727" max="3727" width="34" bestFit="1" customWidth="1"/>
    <col min="3728" max="3728" width="35.83203125" bestFit="1" customWidth="1"/>
    <col min="3729" max="3729" width="35.5" bestFit="1" customWidth="1"/>
    <col min="3730" max="3730" width="29.5" bestFit="1" customWidth="1"/>
    <col min="3731" max="3731" width="28.83203125" bestFit="1" customWidth="1"/>
    <col min="3732" max="3732" width="30.6640625" bestFit="1" customWidth="1"/>
    <col min="3733" max="3733" width="30.33203125" bestFit="1" customWidth="1"/>
    <col min="3734" max="3734" width="34.83203125" bestFit="1" customWidth="1"/>
    <col min="3735" max="3735" width="34" bestFit="1" customWidth="1"/>
    <col min="3736" max="3736" width="35.83203125" bestFit="1" customWidth="1"/>
    <col min="3737" max="3737" width="35.5" bestFit="1" customWidth="1"/>
    <col min="3738" max="3738" width="29.5" bestFit="1" customWidth="1"/>
    <col min="3739" max="3739" width="28.83203125" bestFit="1" customWidth="1"/>
    <col min="3740" max="3740" width="30.6640625" bestFit="1" customWidth="1"/>
    <col min="3741" max="3741" width="30.33203125" bestFit="1" customWidth="1"/>
    <col min="3742" max="3742" width="34.83203125" bestFit="1" customWidth="1"/>
    <col min="3743" max="3743" width="34" bestFit="1" customWidth="1"/>
    <col min="3744" max="3744" width="35.83203125" bestFit="1" customWidth="1"/>
    <col min="3745" max="3745" width="35.5" bestFit="1" customWidth="1"/>
    <col min="3746" max="3746" width="29.5" bestFit="1" customWidth="1"/>
    <col min="3747" max="3747" width="28.83203125" bestFit="1" customWidth="1"/>
    <col min="3748" max="3748" width="30.6640625" bestFit="1" customWidth="1"/>
    <col min="3749" max="3749" width="30.33203125" bestFit="1" customWidth="1"/>
    <col min="3750" max="3750" width="34.83203125" bestFit="1" customWidth="1"/>
    <col min="3751" max="3751" width="34" bestFit="1" customWidth="1"/>
    <col min="3752" max="3752" width="35.83203125" bestFit="1" customWidth="1"/>
    <col min="3753" max="3753" width="35.5" bestFit="1" customWidth="1"/>
    <col min="3754" max="3754" width="29.5" bestFit="1" customWidth="1"/>
    <col min="3755" max="3755" width="28.83203125" bestFit="1" customWidth="1"/>
    <col min="3756" max="3756" width="30.6640625" bestFit="1" customWidth="1"/>
    <col min="3757" max="3757" width="30.33203125" bestFit="1" customWidth="1"/>
    <col min="3758" max="3758" width="34.83203125" bestFit="1" customWidth="1"/>
    <col min="3759" max="3759" width="34" bestFit="1" customWidth="1"/>
    <col min="3760" max="3760" width="35.83203125" bestFit="1" customWidth="1"/>
    <col min="3761" max="3761" width="35.5" bestFit="1" customWidth="1"/>
    <col min="3762" max="3762" width="29.5" bestFit="1" customWidth="1"/>
    <col min="3763" max="3763" width="28.83203125" bestFit="1" customWidth="1"/>
    <col min="3764" max="3764" width="30.6640625" bestFit="1" customWidth="1"/>
    <col min="3765" max="3765" width="30.33203125" bestFit="1" customWidth="1"/>
    <col min="3766" max="3766" width="34.83203125" bestFit="1" customWidth="1"/>
    <col min="3767" max="3767" width="34" bestFit="1" customWidth="1"/>
    <col min="3768" max="3768" width="35.83203125" bestFit="1" customWidth="1"/>
    <col min="3769" max="3769" width="35.5" bestFit="1" customWidth="1"/>
    <col min="3770" max="3770" width="29.5" bestFit="1" customWidth="1"/>
    <col min="3771" max="3771" width="28.83203125" bestFit="1" customWidth="1"/>
    <col min="3772" max="3772" width="30.6640625" bestFit="1" customWidth="1"/>
    <col min="3773" max="3773" width="30.33203125" bestFit="1" customWidth="1"/>
    <col min="3774" max="3774" width="34.83203125" bestFit="1" customWidth="1"/>
    <col min="3775" max="3775" width="34" bestFit="1" customWidth="1"/>
    <col min="3776" max="3776" width="35.83203125" bestFit="1" customWidth="1"/>
    <col min="3777" max="3777" width="35.5" bestFit="1" customWidth="1"/>
    <col min="3778" max="3778" width="29.5" bestFit="1" customWidth="1"/>
    <col min="3779" max="3779" width="28.83203125" bestFit="1" customWidth="1"/>
    <col min="3780" max="3780" width="30.6640625" bestFit="1" customWidth="1"/>
    <col min="3781" max="3781" width="30.33203125" bestFit="1" customWidth="1"/>
    <col min="3782" max="3782" width="34.83203125" bestFit="1" customWidth="1"/>
    <col min="3783" max="3783" width="34" bestFit="1" customWidth="1"/>
    <col min="3784" max="3784" width="35.83203125" bestFit="1" customWidth="1"/>
    <col min="3785" max="3785" width="35.5" bestFit="1" customWidth="1"/>
    <col min="3786" max="3786" width="29.5" bestFit="1" customWidth="1"/>
    <col min="3787" max="3787" width="28.83203125" bestFit="1" customWidth="1"/>
    <col min="3788" max="3788" width="30.6640625" bestFit="1" customWidth="1"/>
    <col min="3789" max="3789" width="30.33203125" bestFit="1" customWidth="1"/>
    <col min="3790" max="3790" width="34.83203125" bestFit="1" customWidth="1"/>
    <col min="3791" max="3791" width="34" bestFit="1" customWidth="1"/>
    <col min="3792" max="3792" width="35.83203125" bestFit="1" customWidth="1"/>
    <col min="3793" max="3793" width="35.5" bestFit="1" customWidth="1"/>
    <col min="3794" max="3794" width="29.5" bestFit="1" customWidth="1"/>
    <col min="3795" max="3795" width="28.83203125" bestFit="1" customWidth="1"/>
    <col min="3796" max="3796" width="30.6640625" bestFit="1" customWidth="1"/>
    <col min="3797" max="3797" width="30.33203125" bestFit="1" customWidth="1"/>
    <col min="3798" max="3798" width="34.83203125" bestFit="1" customWidth="1"/>
    <col min="3799" max="3799" width="34" bestFit="1" customWidth="1"/>
    <col min="3800" max="3800" width="35.83203125" bestFit="1" customWidth="1"/>
    <col min="3801" max="3801" width="35.5" bestFit="1" customWidth="1"/>
    <col min="3802" max="3802" width="29.5" bestFit="1" customWidth="1"/>
    <col min="3803" max="3803" width="28.83203125" bestFit="1" customWidth="1"/>
    <col min="3804" max="3804" width="30.6640625" bestFit="1" customWidth="1"/>
    <col min="3805" max="3805" width="30.33203125" bestFit="1" customWidth="1"/>
    <col min="3806" max="3806" width="34.83203125" bestFit="1" customWidth="1"/>
    <col min="3807" max="3807" width="34" bestFit="1" customWidth="1"/>
    <col min="3808" max="3808" width="35.83203125" bestFit="1" customWidth="1"/>
    <col min="3809" max="3809" width="35.5" bestFit="1" customWidth="1"/>
    <col min="3810" max="3810" width="29.5" bestFit="1" customWidth="1"/>
    <col min="3811" max="3811" width="28.83203125" bestFit="1" customWidth="1"/>
    <col min="3812" max="3812" width="30.6640625" bestFit="1" customWidth="1"/>
    <col min="3813" max="3813" width="30.33203125" bestFit="1" customWidth="1"/>
    <col min="3814" max="3814" width="34.83203125" bestFit="1" customWidth="1"/>
    <col min="3815" max="3815" width="34" bestFit="1" customWidth="1"/>
    <col min="3816" max="3816" width="35.83203125" bestFit="1" customWidth="1"/>
    <col min="3817" max="3817" width="35.5" bestFit="1" customWidth="1"/>
    <col min="3818" max="3818" width="29.5" bestFit="1" customWidth="1"/>
    <col min="3819" max="3819" width="28.83203125" bestFit="1" customWidth="1"/>
    <col min="3820" max="3820" width="30.6640625" bestFit="1" customWidth="1"/>
    <col min="3821" max="3821" width="30.33203125" bestFit="1" customWidth="1"/>
    <col min="3822" max="3822" width="34.83203125" bestFit="1" customWidth="1"/>
    <col min="3823" max="3823" width="34" bestFit="1" customWidth="1"/>
    <col min="3824" max="3824" width="35.83203125" bestFit="1" customWidth="1"/>
    <col min="3825" max="3825" width="35.5" bestFit="1" customWidth="1"/>
    <col min="3826" max="3826" width="29.5" bestFit="1" customWidth="1"/>
    <col min="3827" max="3827" width="28.83203125" bestFit="1" customWidth="1"/>
    <col min="3828" max="3828" width="30.6640625" bestFit="1" customWidth="1"/>
    <col min="3829" max="3829" width="30.33203125" bestFit="1" customWidth="1"/>
    <col min="3830" max="3830" width="34.83203125" bestFit="1" customWidth="1"/>
    <col min="3831" max="3831" width="34" bestFit="1" customWidth="1"/>
    <col min="3832" max="3832" width="35.83203125" bestFit="1" customWidth="1"/>
    <col min="3833" max="3833" width="35.5" bestFit="1" customWidth="1"/>
    <col min="3834" max="3834" width="29.5" bestFit="1" customWidth="1"/>
    <col min="3835" max="3835" width="28.83203125" bestFit="1" customWidth="1"/>
    <col min="3836" max="3836" width="30.6640625" bestFit="1" customWidth="1"/>
    <col min="3837" max="3837" width="30.33203125" bestFit="1" customWidth="1"/>
    <col min="3838" max="3838" width="34.83203125" bestFit="1" customWidth="1"/>
    <col min="3839" max="3839" width="34" bestFit="1" customWidth="1"/>
    <col min="3840" max="3840" width="35.83203125" bestFit="1" customWidth="1"/>
    <col min="3841" max="3841" width="35.5" bestFit="1" customWidth="1"/>
    <col min="3842" max="3842" width="29.5" bestFit="1" customWidth="1"/>
    <col min="3843" max="3843" width="28.83203125" bestFit="1" customWidth="1"/>
    <col min="3844" max="3844" width="30.6640625" bestFit="1" customWidth="1"/>
    <col min="3845" max="3845" width="30.33203125" bestFit="1" customWidth="1"/>
    <col min="3846" max="3846" width="34.83203125" bestFit="1" customWidth="1"/>
    <col min="3847" max="3847" width="34" bestFit="1" customWidth="1"/>
    <col min="3848" max="3848" width="35.83203125" bestFit="1" customWidth="1"/>
    <col min="3849" max="3849" width="35.5" bestFit="1" customWidth="1"/>
    <col min="3850" max="3850" width="29.5" bestFit="1" customWidth="1"/>
    <col min="3851" max="3851" width="28.83203125" bestFit="1" customWidth="1"/>
    <col min="3852" max="3852" width="30.6640625" bestFit="1" customWidth="1"/>
    <col min="3853" max="3853" width="30.33203125" bestFit="1" customWidth="1"/>
    <col min="3854" max="3854" width="34.83203125" bestFit="1" customWidth="1"/>
    <col min="3855" max="3855" width="34" bestFit="1" customWidth="1"/>
    <col min="3856" max="3856" width="35.83203125" bestFit="1" customWidth="1"/>
    <col min="3857" max="3857" width="35.5" bestFit="1" customWidth="1"/>
    <col min="3858" max="3858" width="29.5" bestFit="1" customWidth="1"/>
    <col min="3859" max="3859" width="28.83203125" bestFit="1" customWidth="1"/>
    <col min="3860" max="3860" width="30.6640625" bestFit="1" customWidth="1"/>
    <col min="3861" max="3861" width="30.33203125" bestFit="1" customWidth="1"/>
    <col min="3862" max="3862" width="34.83203125" bestFit="1" customWidth="1"/>
    <col min="3863" max="3863" width="34" bestFit="1" customWidth="1"/>
    <col min="3864" max="3864" width="35.83203125" bestFit="1" customWidth="1"/>
    <col min="3865" max="3865" width="35.5" bestFit="1" customWidth="1"/>
    <col min="3866" max="3866" width="29.5" bestFit="1" customWidth="1"/>
    <col min="3867" max="3867" width="28.83203125" bestFit="1" customWidth="1"/>
    <col min="3868" max="3868" width="30.6640625" bestFit="1" customWidth="1"/>
    <col min="3869" max="3869" width="30.33203125" bestFit="1" customWidth="1"/>
    <col min="3870" max="3870" width="34.83203125" bestFit="1" customWidth="1"/>
    <col min="3871" max="3871" width="34" bestFit="1" customWidth="1"/>
    <col min="3872" max="3872" width="35.83203125" bestFit="1" customWidth="1"/>
    <col min="3873" max="3873" width="35.5" bestFit="1" customWidth="1"/>
    <col min="3874" max="3874" width="29.5" bestFit="1" customWidth="1"/>
    <col min="3875" max="3875" width="28.83203125" bestFit="1" customWidth="1"/>
    <col min="3876" max="3876" width="30.6640625" bestFit="1" customWidth="1"/>
    <col min="3877" max="3877" width="30.33203125" bestFit="1" customWidth="1"/>
    <col min="3878" max="3878" width="34.83203125" bestFit="1" customWidth="1"/>
    <col min="3879" max="3879" width="34" bestFit="1" customWidth="1"/>
    <col min="3880" max="3880" width="35.83203125" bestFit="1" customWidth="1"/>
    <col min="3881" max="3881" width="35.5" bestFit="1" customWidth="1"/>
    <col min="3882" max="3882" width="29.5" bestFit="1" customWidth="1"/>
    <col min="3883" max="3883" width="28.83203125" bestFit="1" customWidth="1"/>
    <col min="3884" max="3884" width="30.6640625" bestFit="1" customWidth="1"/>
    <col min="3885" max="3885" width="30.33203125" bestFit="1" customWidth="1"/>
    <col min="3886" max="3886" width="34.83203125" bestFit="1" customWidth="1"/>
    <col min="3887" max="3887" width="34" bestFit="1" customWidth="1"/>
    <col min="3888" max="3888" width="35.83203125" bestFit="1" customWidth="1"/>
    <col min="3889" max="3889" width="35.5" bestFit="1" customWidth="1"/>
    <col min="3890" max="3890" width="29.5" bestFit="1" customWidth="1"/>
    <col min="3891" max="3891" width="28.83203125" bestFit="1" customWidth="1"/>
    <col min="3892" max="3892" width="30.6640625" bestFit="1" customWidth="1"/>
    <col min="3893" max="3893" width="30.33203125" bestFit="1" customWidth="1"/>
    <col min="3894" max="3894" width="34.83203125" bestFit="1" customWidth="1"/>
    <col min="3895" max="3895" width="34" bestFit="1" customWidth="1"/>
    <col min="3896" max="3896" width="35.83203125" bestFit="1" customWidth="1"/>
    <col min="3897" max="3897" width="35.5" bestFit="1" customWidth="1"/>
    <col min="3898" max="3898" width="29.5" bestFit="1" customWidth="1"/>
    <col min="3899" max="3899" width="28.83203125" bestFit="1" customWidth="1"/>
    <col min="3900" max="3900" width="30.6640625" bestFit="1" customWidth="1"/>
    <col min="3901" max="3901" width="30.33203125" bestFit="1" customWidth="1"/>
    <col min="3902" max="3902" width="34.83203125" bestFit="1" customWidth="1"/>
    <col min="3903" max="3903" width="34" bestFit="1" customWidth="1"/>
    <col min="3904" max="3904" width="35.83203125" bestFit="1" customWidth="1"/>
    <col min="3905" max="3905" width="35.5" bestFit="1" customWidth="1"/>
    <col min="3906" max="3906" width="29.5" bestFit="1" customWidth="1"/>
    <col min="3907" max="3907" width="28.83203125" bestFit="1" customWidth="1"/>
    <col min="3908" max="3908" width="30.6640625" bestFit="1" customWidth="1"/>
    <col min="3909" max="3909" width="30.33203125" bestFit="1" customWidth="1"/>
    <col min="3910" max="3910" width="34.83203125" bestFit="1" customWidth="1"/>
    <col min="3911" max="3911" width="34" bestFit="1" customWidth="1"/>
    <col min="3912" max="3912" width="35.83203125" bestFit="1" customWidth="1"/>
    <col min="3913" max="3913" width="35.5" bestFit="1" customWidth="1"/>
    <col min="3914" max="3914" width="29.5" bestFit="1" customWidth="1"/>
    <col min="3915" max="3915" width="28.83203125" bestFit="1" customWidth="1"/>
    <col min="3916" max="3916" width="30.6640625" bestFit="1" customWidth="1"/>
    <col min="3917" max="3917" width="30.33203125" bestFit="1" customWidth="1"/>
    <col min="3918" max="3918" width="34.83203125" bestFit="1" customWidth="1"/>
    <col min="3919" max="3919" width="34" bestFit="1" customWidth="1"/>
    <col min="3920" max="3920" width="35.83203125" bestFit="1" customWidth="1"/>
    <col min="3921" max="3921" width="35.5" bestFit="1" customWidth="1"/>
    <col min="3922" max="3922" width="29.5" bestFit="1" customWidth="1"/>
    <col min="3923" max="3923" width="28.83203125" bestFit="1" customWidth="1"/>
    <col min="3924" max="3924" width="30.6640625" bestFit="1" customWidth="1"/>
    <col min="3925" max="3925" width="30.33203125" bestFit="1" customWidth="1"/>
    <col min="3926" max="3926" width="34.83203125" bestFit="1" customWidth="1"/>
    <col min="3927" max="3927" width="34" bestFit="1" customWidth="1"/>
    <col min="3928" max="3928" width="35.83203125" bestFit="1" customWidth="1"/>
    <col min="3929" max="3929" width="35.5" bestFit="1" customWidth="1"/>
    <col min="3930" max="3930" width="29.5" bestFit="1" customWidth="1"/>
    <col min="3931" max="3931" width="28.83203125" bestFit="1" customWidth="1"/>
    <col min="3932" max="3932" width="30.6640625" bestFit="1" customWidth="1"/>
    <col min="3933" max="3933" width="30.33203125" bestFit="1" customWidth="1"/>
    <col min="3934" max="3934" width="34.83203125" bestFit="1" customWidth="1"/>
    <col min="3935" max="3935" width="34" bestFit="1" customWidth="1"/>
    <col min="3936" max="3936" width="35.83203125" bestFit="1" customWidth="1"/>
    <col min="3937" max="3937" width="35.5" bestFit="1" customWidth="1"/>
    <col min="3938" max="3938" width="29.5" bestFit="1" customWidth="1"/>
    <col min="3939" max="3939" width="28.83203125" bestFit="1" customWidth="1"/>
    <col min="3940" max="3940" width="30.6640625" bestFit="1" customWidth="1"/>
    <col min="3941" max="3941" width="30.33203125" bestFit="1" customWidth="1"/>
    <col min="3942" max="3942" width="34.83203125" bestFit="1" customWidth="1"/>
    <col min="3943" max="3943" width="34" bestFit="1" customWidth="1"/>
    <col min="3944" max="3944" width="35.83203125" bestFit="1" customWidth="1"/>
    <col min="3945" max="3945" width="35.5" bestFit="1" customWidth="1"/>
    <col min="3946" max="3946" width="33.6640625" bestFit="1" customWidth="1"/>
    <col min="3947" max="3947" width="33" bestFit="1" customWidth="1"/>
    <col min="3948" max="3948" width="34.83203125" bestFit="1" customWidth="1"/>
    <col min="3949" max="3949" width="34.5" bestFit="1" customWidth="1"/>
    <col min="3950" max="3950" width="34.83203125" bestFit="1" customWidth="1"/>
    <col min="3951" max="3951" width="34" bestFit="1" customWidth="1"/>
    <col min="3952" max="3952" width="35.83203125" bestFit="1" customWidth="1"/>
    <col min="3953" max="3953" width="34.83203125" bestFit="1" customWidth="1"/>
    <col min="3954" max="3954" width="34" bestFit="1" customWidth="1"/>
    <col min="3955" max="3955" width="35.83203125" bestFit="1" customWidth="1"/>
    <col min="3956" max="3956" width="29.5" bestFit="1" customWidth="1"/>
    <col min="3957" max="3957" width="28.83203125" bestFit="1" customWidth="1"/>
    <col min="3958" max="3958" width="30.6640625" bestFit="1" customWidth="1"/>
    <col min="3959" max="3959" width="34.83203125" bestFit="1" customWidth="1"/>
    <col min="3960" max="3960" width="34" bestFit="1" customWidth="1"/>
    <col min="3961" max="3961" width="35.83203125" bestFit="1" customWidth="1"/>
    <col min="3962" max="3962" width="34.83203125" bestFit="1" customWidth="1"/>
    <col min="3963" max="3963" width="34" bestFit="1" customWidth="1"/>
    <col min="3964" max="3964" width="35.83203125" bestFit="1" customWidth="1"/>
    <col min="3965" max="3965" width="29.5" bestFit="1" customWidth="1"/>
    <col min="3966" max="3966" width="28.83203125" bestFit="1" customWidth="1"/>
    <col min="3967" max="3967" width="30.6640625" bestFit="1" customWidth="1"/>
    <col min="3968" max="3968" width="34.83203125" bestFit="1" customWidth="1"/>
    <col min="3969" max="3969" width="34" bestFit="1" customWidth="1"/>
    <col min="3970" max="3970" width="35.83203125" bestFit="1" customWidth="1"/>
    <col min="3971" max="3971" width="34.83203125" bestFit="1" customWidth="1"/>
    <col min="3972" max="3972" width="34" bestFit="1" customWidth="1"/>
    <col min="3973" max="3973" width="35.83203125" bestFit="1" customWidth="1"/>
    <col min="3974" max="3974" width="29.5" bestFit="1" customWidth="1"/>
    <col min="3975" max="3975" width="28.83203125" bestFit="1" customWidth="1"/>
    <col min="3976" max="3976" width="30.6640625" bestFit="1" customWidth="1"/>
    <col min="3977" max="3977" width="34.83203125" bestFit="1" customWidth="1"/>
    <col min="3978" max="3978" width="34" bestFit="1" customWidth="1"/>
    <col min="3979" max="3979" width="35.83203125" bestFit="1" customWidth="1"/>
    <col min="3980" max="3980" width="34.83203125" bestFit="1" customWidth="1"/>
    <col min="3981" max="3981" width="34" bestFit="1" customWidth="1"/>
    <col min="3982" max="3982" width="35.83203125" bestFit="1" customWidth="1"/>
    <col min="3983" max="3983" width="29.5" bestFit="1" customWidth="1"/>
    <col min="3984" max="3984" width="28.83203125" bestFit="1" customWidth="1"/>
    <col min="3985" max="3985" width="30.6640625" bestFit="1" customWidth="1"/>
    <col min="3986" max="3986" width="34.83203125" bestFit="1" customWidth="1"/>
    <col min="3987" max="3987" width="34" bestFit="1" customWidth="1"/>
    <col min="3988" max="3988" width="35.83203125" bestFit="1" customWidth="1"/>
    <col min="3989" max="3989" width="34.83203125" bestFit="1" customWidth="1"/>
    <col min="3990" max="3990" width="34" bestFit="1" customWidth="1"/>
    <col min="3991" max="3991" width="35.83203125" bestFit="1" customWidth="1"/>
    <col min="3992" max="3992" width="29.5" bestFit="1" customWidth="1"/>
    <col min="3993" max="3993" width="28.83203125" bestFit="1" customWidth="1"/>
    <col min="3994" max="3994" width="30.6640625" bestFit="1" customWidth="1"/>
    <col min="3995" max="3995" width="34.83203125" bestFit="1" customWidth="1"/>
    <col min="3996" max="3996" width="34" bestFit="1" customWidth="1"/>
    <col min="3997" max="3997" width="35.83203125" bestFit="1" customWidth="1"/>
    <col min="3998" max="3998" width="34.83203125" bestFit="1" customWidth="1"/>
    <col min="3999" max="3999" width="34" bestFit="1" customWidth="1"/>
    <col min="4000" max="4000" width="35.83203125" bestFit="1" customWidth="1"/>
    <col min="4001" max="4001" width="29.5" bestFit="1" customWidth="1"/>
    <col min="4002" max="4002" width="28.83203125" bestFit="1" customWidth="1"/>
    <col min="4003" max="4003" width="30.6640625" bestFit="1" customWidth="1"/>
    <col min="4004" max="4004" width="34.83203125" bestFit="1" customWidth="1"/>
    <col min="4005" max="4005" width="34" bestFit="1" customWidth="1"/>
    <col min="4006" max="4006" width="35.83203125" bestFit="1" customWidth="1"/>
    <col min="4007" max="4007" width="34.83203125" bestFit="1" customWidth="1"/>
    <col min="4008" max="4008" width="34" bestFit="1" customWidth="1"/>
    <col min="4009" max="4009" width="35.83203125" bestFit="1" customWidth="1"/>
    <col min="4010" max="4010" width="29.5" bestFit="1" customWidth="1"/>
    <col min="4011" max="4011" width="28.83203125" bestFit="1" customWidth="1"/>
    <col min="4012" max="4012" width="30.6640625" bestFit="1" customWidth="1"/>
    <col min="4013" max="4013" width="34.83203125" bestFit="1" customWidth="1"/>
    <col min="4014" max="4014" width="34" bestFit="1" customWidth="1"/>
    <col min="4015" max="4015" width="35.83203125" bestFit="1" customWidth="1"/>
    <col min="4016" max="4016" width="34.83203125" bestFit="1" customWidth="1"/>
    <col min="4017" max="4017" width="34" bestFit="1" customWidth="1"/>
    <col min="4018" max="4018" width="35.83203125" bestFit="1" customWidth="1"/>
    <col min="4019" max="4019" width="29.5" bestFit="1" customWidth="1"/>
    <col min="4020" max="4020" width="28.83203125" bestFit="1" customWidth="1"/>
    <col min="4021" max="4021" width="30.6640625" bestFit="1" customWidth="1"/>
    <col min="4022" max="4022" width="34.83203125" bestFit="1" customWidth="1"/>
    <col min="4023" max="4023" width="34" bestFit="1" customWidth="1"/>
    <col min="4024" max="4024" width="35.83203125" bestFit="1" customWidth="1"/>
    <col min="4025" max="4025" width="34.83203125" bestFit="1" customWidth="1"/>
    <col min="4026" max="4026" width="34" bestFit="1" customWidth="1"/>
    <col min="4027" max="4027" width="35.83203125" bestFit="1" customWidth="1"/>
    <col min="4028" max="4028" width="29.5" bestFit="1" customWidth="1"/>
    <col min="4029" max="4029" width="28.83203125" bestFit="1" customWidth="1"/>
    <col min="4030" max="4030" width="30.6640625" bestFit="1" customWidth="1"/>
    <col min="4031" max="4031" width="34.83203125" bestFit="1" customWidth="1"/>
    <col min="4032" max="4032" width="34" bestFit="1" customWidth="1"/>
    <col min="4033" max="4033" width="35.83203125" bestFit="1" customWidth="1"/>
    <col min="4034" max="4034" width="34.83203125" bestFit="1" customWidth="1"/>
    <col min="4035" max="4035" width="34" bestFit="1" customWidth="1"/>
    <col min="4036" max="4036" width="35.83203125" bestFit="1" customWidth="1"/>
    <col min="4037" max="4037" width="29.5" bestFit="1" customWidth="1"/>
    <col min="4038" max="4038" width="28.83203125" bestFit="1" customWidth="1"/>
    <col min="4039" max="4039" width="30.6640625" bestFit="1" customWidth="1"/>
    <col min="4040" max="4040" width="34.83203125" bestFit="1" customWidth="1"/>
    <col min="4041" max="4041" width="34" bestFit="1" customWidth="1"/>
    <col min="4042" max="4042" width="35.83203125" bestFit="1" customWidth="1"/>
    <col min="4043" max="4043" width="34.83203125" bestFit="1" customWidth="1"/>
    <col min="4044" max="4044" width="34" bestFit="1" customWidth="1"/>
    <col min="4045" max="4045" width="35.83203125" bestFit="1" customWidth="1"/>
    <col min="4046" max="4046" width="29.5" bestFit="1" customWidth="1"/>
    <col min="4047" max="4047" width="28.83203125" bestFit="1" customWidth="1"/>
    <col min="4048" max="4048" width="30.6640625" bestFit="1" customWidth="1"/>
    <col min="4049" max="4049" width="34.83203125" bestFit="1" customWidth="1"/>
    <col min="4050" max="4050" width="34" bestFit="1" customWidth="1"/>
    <col min="4051" max="4051" width="35.83203125" bestFit="1" customWidth="1"/>
    <col min="4052" max="4052" width="34.83203125" bestFit="1" customWidth="1"/>
    <col min="4053" max="4053" width="34" bestFit="1" customWidth="1"/>
    <col min="4054" max="4054" width="35.83203125" bestFit="1" customWidth="1"/>
    <col min="4055" max="4055" width="29.5" bestFit="1" customWidth="1"/>
    <col min="4056" max="4056" width="28.83203125" bestFit="1" customWidth="1"/>
    <col min="4057" max="4057" width="30.6640625" bestFit="1" customWidth="1"/>
    <col min="4058" max="4058" width="34.83203125" bestFit="1" customWidth="1"/>
    <col min="4059" max="4059" width="34" bestFit="1" customWidth="1"/>
    <col min="4060" max="4060" width="35.83203125" bestFit="1" customWidth="1"/>
    <col min="4061" max="4061" width="34.83203125" bestFit="1" customWidth="1"/>
    <col min="4062" max="4062" width="34" bestFit="1" customWidth="1"/>
    <col min="4063" max="4063" width="35.83203125" bestFit="1" customWidth="1"/>
    <col min="4064" max="4064" width="29.5" bestFit="1" customWidth="1"/>
    <col min="4065" max="4065" width="28.83203125" bestFit="1" customWidth="1"/>
    <col min="4066" max="4066" width="30.6640625" bestFit="1" customWidth="1"/>
    <col min="4067" max="4067" width="34.83203125" bestFit="1" customWidth="1"/>
    <col min="4068" max="4068" width="34" bestFit="1" customWidth="1"/>
    <col min="4069" max="4069" width="35.83203125" bestFit="1" customWidth="1"/>
    <col min="4070" max="4070" width="34.83203125" bestFit="1" customWidth="1"/>
    <col min="4071" max="4071" width="34" bestFit="1" customWidth="1"/>
    <col min="4072" max="4072" width="35.83203125" bestFit="1" customWidth="1"/>
    <col min="4073" max="4073" width="29.5" bestFit="1" customWidth="1"/>
    <col min="4074" max="4074" width="28.83203125" bestFit="1" customWidth="1"/>
    <col min="4075" max="4075" width="30.6640625" bestFit="1" customWidth="1"/>
    <col min="4076" max="4076" width="34.83203125" bestFit="1" customWidth="1"/>
    <col min="4077" max="4077" width="34" bestFit="1" customWidth="1"/>
    <col min="4078" max="4078" width="35.83203125" bestFit="1" customWidth="1"/>
    <col min="4079" max="4079" width="34.83203125" bestFit="1" customWidth="1"/>
    <col min="4080" max="4080" width="34" bestFit="1" customWidth="1"/>
    <col min="4081" max="4081" width="35.83203125" bestFit="1" customWidth="1"/>
    <col min="4082" max="4082" width="29.5" bestFit="1" customWidth="1"/>
    <col min="4083" max="4083" width="28.83203125" bestFit="1" customWidth="1"/>
    <col min="4084" max="4084" width="30.6640625" bestFit="1" customWidth="1"/>
    <col min="4085" max="4085" width="34.83203125" bestFit="1" customWidth="1"/>
    <col min="4086" max="4086" width="34" bestFit="1" customWidth="1"/>
    <col min="4087" max="4087" width="35.83203125" bestFit="1" customWidth="1"/>
    <col min="4088" max="4088" width="34.83203125" bestFit="1" customWidth="1"/>
    <col min="4089" max="4089" width="34" bestFit="1" customWidth="1"/>
    <col min="4090" max="4090" width="35.83203125" bestFit="1" customWidth="1"/>
    <col min="4091" max="4091" width="29.5" bestFit="1" customWidth="1"/>
    <col min="4092" max="4092" width="28.83203125" bestFit="1" customWidth="1"/>
    <col min="4093" max="4093" width="30.6640625" bestFit="1" customWidth="1"/>
    <col min="4094" max="4094" width="34.83203125" bestFit="1" customWidth="1"/>
    <col min="4095" max="4095" width="34" bestFit="1" customWidth="1"/>
    <col min="4096" max="4096" width="35.83203125" bestFit="1" customWidth="1"/>
    <col min="4097" max="4097" width="34.83203125" bestFit="1" customWidth="1"/>
    <col min="4098" max="4098" width="34" bestFit="1" customWidth="1"/>
    <col min="4099" max="4099" width="35.83203125" bestFit="1" customWidth="1"/>
    <col min="4100" max="4100" width="29.5" bestFit="1" customWidth="1"/>
    <col min="4101" max="4101" width="28.83203125" bestFit="1" customWidth="1"/>
    <col min="4102" max="4102" width="30.6640625" bestFit="1" customWidth="1"/>
    <col min="4103" max="4103" width="34.83203125" bestFit="1" customWidth="1"/>
    <col min="4104" max="4104" width="34" bestFit="1" customWidth="1"/>
    <col min="4105" max="4105" width="35.83203125" bestFit="1" customWidth="1"/>
    <col min="4106" max="4106" width="34.83203125" bestFit="1" customWidth="1"/>
    <col min="4107" max="4107" width="34" bestFit="1" customWidth="1"/>
    <col min="4108" max="4108" width="35.83203125" bestFit="1" customWidth="1"/>
    <col min="4109" max="4109" width="29.5" bestFit="1" customWidth="1"/>
    <col min="4110" max="4110" width="28.83203125" bestFit="1" customWidth="1"/>
    <col min="4111" max="4111" width="30.6640625" bestFit="1" customWidth="1"/>
    <col min="4112" max="4112" width="34.83203125" bestFit="1" customWidth="1"/>
    <col min="4113" max="4113" width="34" bestFit="1" customWidth="1"/>
    <col min="4114" max="4114" width="35.83203125" bestFit="1" customWidth="1"/>
    <col min="4115" max="4115" width="34.83203125" bestFit="1" customWidth="1"/>
    <col min="4116" max="4116" width="34" bestFit="1" customWidth="1"/>
    <col min="4117" max="4117" width="35.83203125" bestFit="1" customWidth="1"/>
    <col min="4118" max="4118" width="29.5" bestFit="1" customWidth="1"/>
    <col min="4119" max="4119" width="28.83203125" bestFit="1" customWidth="1"/>
    <col min="4120" max="4120" width="30.6640625" bestFit="1" customWidth="1"/>
    <col min="4121" max="4121" width="34.83203125" bestFit="1" customWidth="1"/>
    <col min="4122" max="4122" width="34" bestFit="1" customWidth="1"/>
    <col min="4123" max="4123" width="35.83203125" bestFit="1" customWidth="1"/>
    <col min="4124" max="4124" width="34.83203125" bestFit="1" customWidth="1"/>
    <col min="4125" max="4125" width="34" bestFit="1" customWidth="1"/>
    <col min="4126" max="4126" width="35.83203125" bestFit="1" customWidth="1"/>
    <col min="4127" max="4127" width="29.5" bestFit="1" customWidth="1"/>
    <col min="4128" max="4128" width="28.83203125" bestFit="1" customWidth="1"/>
    <col min="4129" max="4129" width="30.6640625" bestFit="1" customWidth="1"/>
    <col min="4130" max="4130" width="34.83203125" bestFit="1" customWidth="1"/>
    <col min="4131" max="4131" width="34" bestFit="1" customWidth="1"/>
    <col min="4132" max="4132" width="35.83203125" bestFit="1" customWidth="1"/>
    <col min="4133" max="4133" width="34.83203125" bestFit="1" customWidth="1"/>
    <col min="4134" max="4134" width="34" bestFit="1" customWidth="1"/>
    <col min="4135" max="4135" width="35.83203125" bestFit="1" customWidth="1"/>
    <col min="4136" max="4136" width="29.5" bestFit="1" customWidth="1"/>
    <col min="4137" max="4137" width="28.83203125" bestFit="1" customWidth="1"/>
    <col min="4138" max="4138" width="30.6640625" bestFit="1" customWidth="1"/>
    <col min="4139" max="4139" width="34.83203125" bestFit="1" customWidth="1"/>
    <col min="4140" max="4140" width="34" bestFit="1" customWidth="1"/>
    <col min="4141" max="4141" width="35.83203125" bestFit="1" customWidth="1"/>
    <col min="4142" max="4142" width="34.83203125" bestFit="1" customWidth="1"/>
    <col min="4143" max="4143" width="34" bestFit="1" customWidth="1"/>
    <col min="4144" max="4144" width="35.83203125" bestFit="1" customWidth="1"/>
    <col min="4145" max="4145" width="29.5" bestFit="1" customWidth="1"/>
    <col min="4146" max="4146" width="28.83203125" bestFit="1" customWidth="1"/>
    <col min="4147" max="4147" width="30.6640625" bestFit="1" customWidth="1"/>
    <col min="4148" max="4148" width="34.83203125" bestFit="1" customWidth="1"/>
    <col min="4149" max="4149" width="34" bestFit="1" customWidth="1"/>
    <col min="4150" max="4150" width="35.83203125" bestFit="1" customWidth="1"/>
    <col min="4151" max="4151" width="34.83203125" bestFit="1" customWidth="1"/>
    <col min="4152" max="4152" width="34" bestFit="1" customWidth="1"/>
    <col min="4153" max="4153" width="35.83203125" bestFit="1" customWidth="1"/>
    <col min="4154" max="4154" width="29.5" bestFit="1" customWidth="1"/>
    <col min="4155" max="4155" width="28.83203125" bestFit="1" customWidth="1"/>
    <col min="4156" max="4156" width="30.6640625" bestFit="1" customWidth="1"/>
    <col min="4157" max="4157" width="34.83203125" bestFit="1" customWidth="1"/>
    <col min="4158" max="4158" width="34" bestFit="1" customWidth="1"/>
    <col min="4159" max="4159" width="35.83203125" bestFit="1" customWidth="1"/>
    <col min="4160" max="4160" width="34.83203125" bestFit="1" customWidth="1"/>
    <col min="4161" max="4161" width="34" bestFit="1" customWidth="1"/>
    <col min="4162" max="4162" width="35.83203125" bestFit="1" customWidth="1"/>
    <col min="4163" max="4163" width="29.5" bestFit="1" customWidth="1"/>
    <col min="4164" max="4164" width="28.83203125" bestFit="1" customWidth="1"/>
    <col min="4165" max="4165" width="30.6640625" bestFit="1" customWidth="1"/>
    <col min="4166" max="4166" width="34.83203125" bestFit="1" customWidth="1"/>
    <col min="4167" max="4167" width="34" bestFit="1" customWidth="1"/>
    <col min="4168" max="4168" width="35.83203125" bestFit="1" customWidth="1"/>
    <col min="4169" max="4169" width="34.83203125" bestFit="1" customWidth="1"/>
    <col min="4170" max="4170" width="34" bestFit="1" customWidth="1"/>
    <col min="4171" max="4171" width="35.83203125" bestFit="1" customWidth="1"/>
    <col min="4172" max="4172" width="29.5" bestFit="1" customWidth="1"/>
    <col min="4173" max="4173" width="28.83203125" bestFit="1" customWidth="1"/>
    <col min="4174" max="4174" width="30.6640625" bestFit="1" customWidth="1"/>
    <col min="4175" max="4175" width="34.83203125" bestFit="1" customWidth="1"/>
    <col min="4176" max="4176" width="34" bestFit="1" customWidth="1"/>
    <col min="4177" max="4177" width="35.83203125" bestFit="1" customWidth="1"/>
    <col min="4178" max="4178" width="34.83203125" bestFit="1" customWidth="1"/>
    <col min="4179" max="4179" width="34" bestFit="1" customWidth="1"/>
    <col min="4180" max="4180" width="35.83203125" bestFit="1" customWidth="1"/>
    <col min="4181" max="4181" width="29.5" bestFit="1" customWidth="1"/>
    <col min="4182" max="4182" width="28.83203125" bestFit="1" customWidth="1"/>
    <col min="4183" max="4183" width="30.6640625" bestFit="1" customWidth="1"/>
    <col min="4184" max="4184" width="34.83203125" bestFit="1" customWidth="1"/>
    <col min="4185" max="4185" width="34" bestFit="1" customWidth="1"/>
    <col min="4186" max="4186" width="35.83203125" bestFit="1" customWidth="1"/>
    <col min="4187" max="4187" width="34.83203125" bestFit="1" customWidth="1"/>
    <col min="4188" max="4188" width="34" bestFit="1" customWidth="1"/>
    <col min="4189" max="4189" width="35.83203125" bestFit="1" customWidth="1"/>
    <col min="4190" max="4190" width="29.5" bestFit="1" customWidth="1"/>
    <col min="4191" max="4191" width="28.83203125" bestFit="1" customWidth="1"/>
    <col min="4192" max="4192" width="30.6640625" bestFit="1" customWidth="1"/>
    <col min="4193" max="4193" width="34.83203125" bestFit="1" customWidth="1"/>
    <col min="4194" max="4194" width="34" bestFit="1" customWidth="1"/>
    <col min="4195" max="4195" width="35.83203125" bestFit="1" customWidth="1"/>
    <col min="4196" max="4196" width="34.83203125" bestFit="1" customWidth="1"/>
    <col min="4197" max="4197" width="34" bestFit="1" customWidth="1"/>
    <col min="4198" max="4198" width="35.83203125" bestFit="1" customWidth="1"/>
    <col min="4199" max="4199" width="29.5" bestFit="1" customWidth="1"/>
    <col min="4200" max="4200" width="28.83203125" bestFit="1" customWidth="1"/>
    <col min="4201" max="4201" width="30.6640625" bestFit="1" customWidth="1"/>
    <col min="4202" max="4202" width="34.83203125" bestFit="1" customWidth="1"/>
    <col min="4203" max="4203" width="34" bestFit="1" customWidth="1"/>
    <col min="4204" max="4204" width="35.83203125" bestFit="1" customWidth="1"/>
    <col min="4205" max="4205" width="34.83203125" bestFit="1" customWidth="1"/>
    <col min="4206" max="4206" width="34" bestFit="1" customWidth="1"/>
    <col min="4207" max="4207" width="35.83203125" bestFit="1" customWidth="1"/>
    <col min="4208" max="4208" width="29.5" bestFit="1" customWidth="1"/>
    <col min="4209" max="4209" width="28.83203125" bestFit="1" customWidth="1"/>
    <col min="4210" max="4210" width="30.6640625" bestFit="1" customWidth="1"/>
    <col min="4211" max="4211" width="34.83203125" bestFit="1" customWidth="1"/>
    <col min="4212" max="4212" width="34" bestFit="1" customWidth="1"/>
    <col min="4213" max="4213" width="35.83203125" bestFit="1" customWidth="1"/>
    <col min="4214" max="4214" width="34.83203125" bestFit="1" customWidth="1"/>
    <col min="4215" max="4215" width="34" bestFit="1" customWidth="1"/>
    <col min="4216" max="4216" width="35.83203125" bestFit="1" customWidth="1"/>
    <col min="4217" max="4217" width="29.5" bestFit="1" customWidth="1"/>
    <col min="4218" max="4218" width="28.83203125" bestFit="1" customWidth="1"/>
    <col min="4219" max="4219" width="30.6640625" bestFit="1" customWidth="1"/>
    <col min="4220" max="4220" width="34.83203125" bestFit="1" customWidth="1"/>
    <col min="4221" max="4221" width="34" bestFit="1" customWidth="1"/>
    <col min="4222" max="4222" width="35.83203125" bestFit="1" customWidth="1"/>
    <col min="4223" max="4223" width="34.83203125" bestFit="1" customWidth="1"/>
    <col min="4224" max="4224" width="34" bestFit="1" customWidth="1"/>
    <col min="4225" max="4225" width="35.83203125" bestFit="1" customWidth="1"/>
    <col min="4226" max="4226" width="29.5" bestFit="1" customWidth="1"/>
    <col min="4227" max="4227" width="28.83203125" bestFit="1" customWidth="1"/>
    <col min="4228" max="4228" width="30.6640625" bestFit="1" customWidth="1"/>
    <col min="4229" max="4229" width="34.83203125" bestFit="1" customWidth="1"/>
    <col min="4230" max="4230" width="34" bestFit="1" customWidth="1"/>
    <col min="4231" max="4231" width="35.83203125" bestFit="1" customWidth="1"/>
    <col min="4232" max="4232" width="34.83203125" bestFit="1" customWidth="1"/>
    <col min="4233" max="4233" width="34" bestFit="1" customWidth="1"/>
    <col min="4234" max="4234" width="35.83203125" bestFit="1" customWidth="1"/>
    <col min="4235" max="4235" width="29.5" bestFit="1" customWidth="1"/>
    <col min="4236" max="4236" width="28.83203125" bestFit="1" customWidth="1"/>
    <col min="4237" max="4237" width="30.6640625" bestFit="1" customWidth="1"/>
    <col min="4238" max="4238" width="34.83203125" bestFit="1" customWidth="1"/>
    <col min="4239" max="4239" width="34" bestFit="1" customWidth="1"/>
    <col min="4240" max="4240" width="35.83203125" bestFit="1" customWidth="1"/>
    <col min="4241" max="4241" width="34.83203125" bestFit="1" customWidth="1"/>
    <col min="4242" max="4242" width="34" bestFit="1" customWidth="1"/>
    <col min="4243" max="4243" width="35.83203125" bestFit="1" customWidth="1"/>
    <col min="4244" max="4244" width="29.5" bestFit="1" customWidth="1"/>
    <col min="4245" max="4245" width="28.83203125" bestFit="1" customWidth="1"/>
    <col min="4246" max="4246" width="30.6640625" bestFit="1" customWidth="1"/>
    <col min="4247" max="4247" width="34.83203125" bestFit="1" customWidth="1"/>
    <col min="4248" max="4248" width="34" bestFit="1" customWidth="1"/>
    <col min="4249" max="4249" width="35.83203125" bestFit="1" customWidth="1"/>
    <col min="4250" max="4250" width="34.83203125" bestFit="1" customWidth="1"/>
    <col min="4251" max="4251" width="34" bestFit="1" customWidth="1"/>
    <col min="4252" max="4252" width="35.83203125" bestFit="1" customWidth="1"/>
    <col min="4253" max="4253" width="29.5" bestFit="1" customWidth="1"/>
    <col min="4254" max="4254" width="28.83203125" bestFit="1" customWidth="1"/>
    <col min="4255" max="4255" width="30.6640625" bestFit="1" customWidth="1"/>
    <col min="4256" max="4256" width="34.83203125" bestFit="1" customWidth="1"/>
    <col min="4257" max="4257" width="34" bestFit="1" customWidth="1"/>
    <col min="4258" max="4258" width="35.83203125" bestFit="1" customWidth="1"/>
    <col min="4259" max="4259" width="34.83203125" bestFit="1" customWidth="1"/>
    <col min="4260" max="4260" width="34" bestFit="1" customWidth="1"/>
    <col min="4261" max="4261" width="35.83203125" bestFit="1" customWidth="1"/>
    <col min="4262" max="4262" width="29.5" bestFit="1" customWidth="1"/>
    <col min="4263" max="4263" width="28.83203125" bestFit="1" customWidth="1"/>
    <col min="4264" max="4264" width="30.6640625" bestFit="1" customWidth="1"/>
    <col min="4265" max="4265" width="34.83203125" bestFit="1" customWidth="1"/>
    <col min="4266" max="4266" width="34" bestFit="1" customWidth="1"/>
    <col min="4267" max="4267" width="35.83203125" bestFit="1" customWidth="1"/>
    <col min="4268" max="4268" width="34.83203125" bestFit="1" customWidth="1"/>
    <col min="4269" max="4269" width="34" bestFit="1" customWidth="1"/>
    <col min="4270" max="4270" width="35.83203125" bestFit="1" customWidth="1"/>
    <col min="4271" max="4271" width="29.5" bestFit="1" customWidth="1"/>
    <col min="4272" max="4272" width="28.83203125" bestFit="1" customWidth="1"/>
    <col min="4273" max="4273" width="30.6640625" bestFit="1" customWidth="1"/>
    <col min="4274" max="4274" width="34.83203125" bestFit="1" customWidth="1"/>
    <col min="4275" max="4275" width="34" bestFit="1" customWidth="1"/>
    <col min="4276" max="4276" width="35.83203125" bestFit="1" customWidth="1"/>
    <col min="4277" max="4277" width="34.83203125" bestFit="1" customWidth="1"/>
    <col min="4278" max="4278" width="34" bestFit="1" customWidth="1"/>
    <col min="4279" max="4279" width="35.83203125" bestFit="1" customWidth="1"/>
    <col min="4280" max="4280" width="29.5" bestFit="1" customWidth="1"/>
    <col min="4281" max="4281" width="28.83203125" bestFit="1" customWidth="1"/>
    <col min="4282" max="4282" width="30.6640625" bestFit="1" customWidth="1"/>
    <col min="4283" max="4283" width="34.83203125" bestFit="1" customWidth="1"/>
    <col min="4284" max="4284" width="34" bestFit="1" customWidth="1"/>
    <col min="4285" max="4285" width="35.83203125" bestFit="1" customWidth="1"/>
    <col min="4286" max="4286" width="34.83203125" bestFit="1" customWidth="1"/>
    <col min="4287" max="4287" width="34" bestFit="1" customWidth="1"/>
    <col min="4288" max="4288" width="35.83203125" bestFit="1" customWidth="1"/>
    <col min="4289" max="4289" width="29.5" bestFit="1" customWidth="1"/>
    <col min="4290" max="4290" width="28.83203125" bestFit="1" customWidth="1"/>
    <col min="4291" max="4291" width="30.6640625" bestFit="1" customWidth="1"/>
    <col min="4292" max="4292" width="34.83203125" bestFit="1" customWidth="1"/>
    <col min="4293" max="4293" width="34" bestFit="1" customWidth="1"/>
    <col min="4294" max="4294" width="35.83203125" bestFit="1" customWidth="1"/>
    <col min="4295" max="4295" width="34.83203125" bestFit="1" customWidth="1"/>
    <col min="4296" max="4296" width="34" bestFit="1" customWidth="1"/>
    <col min="4297" max="4297" width="35.83203125" bestFit="1" customWidth="1"/>
    <col min="4298" max="4298" width="29.5" bestFit="1" customWidth="1"/>
    <col min="4299" max="4299" width="28.83203125" bestFit="1" customWidth="1"/>
    <col min="4300" max="4300" width="30.6640625" bestFit="1" customWidth="1"/>
    <col min="4301" max="4301" width="34.83203125" bestFit="1" customWidth="1"/>
    <col min="4302" max="4302" width="34" bestFit="1" customWidth="1"/>
    <col min="4303" max="4303" width="35.83203125" bestFit="1" customWidth="1"/>
    <col min="4304" max="4304" width="34.83203125" bestFit="1" customWidth="1"/>
    <col min="4305" max="4305" width="34" bestFit="1" customWidth="1"/>
    <col min="4306" max="4306" width="35.83203125" bestFit="1" customWidth="1"/>
    <col min="4307" max="4307" width="29.5" bestFit="1" customWidth="1"/>
    <col min="4308" max="4308" width="28.83203125" bestFit="1" customWidth="1"/>
    <col min="4309" max="4309" width="30.6640625" bestFit="1" customWidth="1"/>
    <col min="4310" max="4310" width="34.83203125" bestFit="1" customWidth="1"/>
    <col min="4311" max="4311" width="34" bestFit="1" customWidth="1"/>
    <col min="4312" max="4312" width="35.83203125" bestFit="1" customWidth="1"/>
    <col min="4313" max="4313" width="34.83203125" bestFit="1" customWidth="1"/>
    <col min="4314" max="4314" width="34" bestFit="1" customWidth="1"/>
    <col min="4315" max="4315" width="35.83203125" bestFit="1" customWidth="1"/>
    <col min="4316" max="4316" width="29.5" bestFit="1" customWidth="1"/>
    <col min="4317" max="4317" width="28.83203125" bestFit="1" customWidth="1"/>
    <col min="4318" max="4318" width="30.6640625" bestFit="1" customWidth="1"/>
    <col min="4319" max="4319" width="34.83203125" bestFit="1" customWidth="1"/>
    <col min="4320" max="4320" width="34" bestFit="1" customWidth="1"/>
    <col min="4321" max="4321" width="35.83203125" bestFit="1" customWidth="1"/>
    <col min="4322" max="4322" width="34.83203125" bestFit="1" customWidth="1"/>
    <col min="4323" max="4323" width="34" bestFit="1" customWidth="1"/>
    <col min="4324" max="4324" width="35.83203125" bestFit="1" customWidth="1"/>
    <col min="4325" max="4325" width="29.5" bestFit="1" customWidth="1"/>
    <col min="4326" max="4326" width="28.83203125" bestFit="1" customWidth="1"/>
    <col min="4327" max="4327" width="30.6640625" bestFit="1" customWidth="1"/>
    <col min="4328" max="4328" width="34.83203125" bestFit="1" customWidth="1"/>
    <col min="4329" max="4329" width="34" bestFit="1" customWidth="1"/>
    <col min="4330" max="4330" width="35.83203125" bestFit="1" customWidth="1"/>
    <col min="4331" max="4331" width="34.83203125" bestFit="1" customWidth="1"/>
    <col min="4332" max="4332" width="34" bestFit="1" customWidth="1"/>
    <col min="4333" max="4333" width="35.83203125" bestFit="1" customWidth="1"/>
    <col min="4334" max="4334" width="29.5" bestFit="1" customWidth="1"/>
    <col min="4335" max="4335" width="28.83203125" bestFit="1" customWidth="1"/>
    <col min="4336" max="4336" width="30.6640625" bestFit="1" customWidth="1"/>
    <col min="4337" max="4337" width="34.83203125" bestFit="1" customWidth="1"/>
    <col min="4338" max="4338" width="34" bestFit="1" customWidth="1"/>
    <col min="4339" max="4339" width="35.83203125" bestFit="1" customWidth="1"/>
    <col min="4340" max="4340" width="34.83203125" bestFit="1" customWidth="1"/>
    <col min="4341" max="4341" width="34" bestFit="1" customWidth="1"/>
    <col min="4342" max="4342" width="35.83203125" bestFit="1" customWidth="1"/>
    <col min="4343" max="4343" width="29.5" bestFit="1" customWidth="1"/>
    <col min="4344" max="4344" width="28.83203125" bestFit="1" customWidth="1"/>
    <col min="4345" max="4345" width="30.6640625" bestFit="1" customWidth="1"/>
    <col min="4346" max="4346" width="34.83203125" bestFit="1" customWidth="1"/>
    <col min="4347" max="4347" width="34" bestFit="1" customWidth="1"/>
    <col min="4348" max="4348" width="35.83203125" bestFit="1" customWidth="1"/>
    <col min="4349" max="4349" width="34.83203125" bestFit="1" customWidth="1"/>
    <col min="4350" max="4350" width="34" bestFit="1" customWidth="1"/>
    <col min="4351" max="4351" width="35.83203125" bestFit="1" customWidth="1"/>
    <col min="4352" max="4352" width="29.5" bestFit="1" customWidth="1"/>
    <col min="4353" max="4353" width="28.83203125" bestFit="1" customWidth="1"/>
    <col min="4354" max="4354" width="30.6640625" bestFit="1" customWidth="1"/>
    <col min="4355" max="4355" width="34.83203125" bestFit="1" customWidth="1"/>
    <col min="4356" max="4356" width="34" bestFit="1" customWidth="1"/>
    <col min="4357" max="4357" width="35.83203125" bestFit="1" customWidth="1"/>
    <col min="4358" max="4358" width="34.83203125" bestFit="1" customWidth="1"/>
    <col min="4359" max="4359" width="34" bestFit="1" customWidth="1"/>
    <col min="4360" max="4360" width="35.83203125" bestFit="1" customWidth="1"/>
    <col min="4361" max="4361" width="29.5" bestFit="1" customWidth="1"/>
    <col min="4362" max="4362" width="28.83203125" bestFit="1" customWidth="1"/>
    <col min="4363" max="4363" width="30.6640625" bestFit="1" customWidth="1"/>
    <col min="4364" max="4364" width="34.83203125" bestFit="1" customWidth="1"/>
    <col min="4365" max="4365" width="34" bestFit="1" customWidth="1"/>
    <col min="4366" max="4366" width="35.83203125" bestFit="1" customWidth="1"/>
    <col min="4367" max="4367" width="34.83203125" bestFit="1" customWidth="1"/>
    <col min="4368" max="4368" width="34" bestFit="1" customWidth="1"/>
    <col min="4369" max="4369" width="35.83203125" bestFit="1" customWidth="1"/>
    <col min="4370" max="4370" width="29.5" bestFit="1" customWidth="1"/>
    <col min="4371" max="4371" width="28.83203125" bestFit="1" customWidth="1"/>
    <col min="4372" max="4372" width="30.6640625" bestFit="1" customWidth="1"/>
    <col min="4373" max="4373" width="34.83203125" bestFit="1" customWidth="1"/>
    <col min="4374" max="4374" width="34" bestFit="1" customWidth="1"/>
    <col min="4375" max="4375" width="35.83203125" bestFit="1" customWidth="1"/>
    <col min="4376" max="4376" width="34.83203125" bestFit="1" customWidth="1"/>
    <col min="4377" max="4377" width="34" bestFit="1" customWidth="1"/>
    <col min="4378" max="4378" width="35.83203125" bestFit="1" customWidth="1"/>
    <col min="4379" max="4379" width="29.5" bestFit="1" customWidth="1"/>
    <col min="4380" max="4380" width="28.83203125" bestFit="1" customWidth="1"/>
    <col min="4381" max="4381" width="30.6640625" bestFit="1" customWidth="1"/>
    <col min="4382" max="4382" width="34.83203125" bestFit="1" customWidth="1"/>
    <col min="4383" max="4383" width="34" bestFit="1" customWidth="1"/>
    <col min="4384" max="4384" width="35.83203125" bestFit="1" customWidth="1"/>
    <col min="4385" max="4385" width="34.83203125" bestFit="1" customWidth="1"/>
    <col min="4386" max="4386" width="34" bestFit="1" customWidth="1"/>
    <col min="4387" max="4387" width="35.83203125" bestFit="1" customWidth="1"/>
    <col min="4388" max="4388" width="29.5" bestFit="1" customWidth="1"/>
    <col min="4389" max="4389" width="28.83203125" bestFit="1" customWidth="1"/>
    <col min="4390" max="4390" width="30.6640625" bestFit="1" customWidth="1"/>
    <col min="4391" max="4391" width="34.83203125" bestFit="1" customWidth="1"/>
    <col min="4392" max="4392" width="34" bestFit="1" customWidth="1"/>
    <col min="4393" max="4393" width="35.83203125" bestFit="1" customWidth="1"/>
    <col min="4394" max="4394" width="34.83203125" bestFit="1" customWidth="1"/>
    <col min="4395" max="4395" width="34" bestFit="1" customWidth="1"/>
    <col min="4396" max="4396" width="35.83203125" bestFit="1" customWidth="1"/>
    <col min="4397" max="4397" width="29.5" bestFit="1" customWidth="1"/>
    <col min="4398" max="4398" width="28.83203125" bestFit="1" customWidth="1"/>
    <col min="4399" max="4399" width="30.6640625" bestFit="1" customWidth="1"/>
    <col min="4400" max="4400" width="34.83203125" bestFit="1" customWidth="1"/>
    <col min="4401" max="4401" width="34" bestFit="1" customWidth="1"/>
    <col min="4402" max="4402" width="35.83203125" bestFit="1" customWidth="1"/>
    <col min="4403" max="4403" width="34.83203125" bestFit="1" customWidth="1"/>
    <col min="4404" max="4404" width="34" bestFit="1" customWidth="1"/>
    <col min="4405" max="4405" width="35.83203125" bestFit="1" customWidth="1"/>
    <col min="4406" max="4406" width="29.5" bestFit="1" customWidth="1"/>
    <col min="4407" max="4407" width="28.83203125" bestFit="1" customWidth="1"/>
    <col min="4408" max="4408" width="30.6640625" bestFit="1" customWidth="1"/>
    <col min="4409" max="4409" width="34.83203125" bestFit="1" customWidth="1"/>
    <col min="4410" max="4410" width="34" bestFit="1" customWidth="1"/>
    <col min="4411" max="4411" width="35.83203125" bestFit="1" customWidth="1"/>
    <col min="4412" max="4412" width="34.83203125" bestFit="1" customWidth="1"/>
    <col min="4413" max="4413" width="34" bestFit="1" customWidth="1"/>
    <col min="4414" max="4414" width="35.83203125" bestFit="1" customWidth="1"/>
    <col min="4415" max="4415" width="29.5" bestFit="1" customWidth="1"/>
    <col min="4416" max="4416" width="28.83203125" bestFit="1" customWidth="1"/>
    <col min="4417" max="4417" width="30.6640625" bestFit="1" customWidth="1"/>
    <col min="4418" max="4418" width="34.83203125" bestFit="1" customWidth="1"/>
    <col min="4419" max="4419" width="34" bestFit="1" customWidth="1"/>
    <col min="4420" max="4420" width="35.83203125" bestFit="1" customWidth="1"/>
    <col min="4421" max="4421" width="34.83203125" bestFit="1" customWidth="1"/>
    <col min="4422" max="4422" width="34" bestFit="1" customWidth="1"/>
    <col min="4423" max="4423" width="35.83203125" bestFit="1" customWidth="1"/>
    <col min="4424" max="4424" width="29.5" bestFit="1" customWidth="1"/>
    <col min="4425" max="4425" width="28.83203125" bestFit="1" customWidth="1"/>
    <col min="4426" max="4426" width="30.6640625" bestFit="1" customWidth="1"/>
    <col min="4427" max="4427" width="34.83203125" bestFit="1" customWidth="1"/>
    <col min="4428" max="4428" width="34" bestFit="1" customWidth="1"/>
    <col min="4429" max="4429" width="35.83203125" bestFit="1" customWidth="1"/>
    <col min="4430" max="4430" width="34.83203125" bestFit="1" customWidth="1"/>
    <col min="4431" max="4431" width="34" bestFit="1" customWidth="1"/>
    <col min="4432" max="4432" width="35.83203125" bestFit="1" customWidth="1"/>
    <col min="4433" max="4433" width="29.5" bestFit="1" customWidth="1"/>
    <col min="4434" max="4434" width="28.83203125" bestFit="1" customWidth="1"/>
    <col min="4435" max="4435" width="30.6640625" bestFit="1" customWidth="1"/>
    <col min="4436" max="4436" width="34.83203125" bestFit="1" customWidth="1"/>
    <col min="4437" max="4437" width="34" bestFit="1" customWidth="1"/>
    <col min="4438" max="4438" width="35.83203125" bestFit="1" customWidth="1"/>
    <col min="4439" max="4439" width="34.83203125" bestFit="1" customWidth="1"/>
    <col min="4440" max="4440" width="34" bestFit="1" customWidth="1"/>
    <col min="4441" max="4441" width="35.83203125" bestFit="1" customWidth="1"/>
    <col min="4442" max="4442" width="29.5" bestFit="1" customWidth="1"/>
    <col min="4443" max="4443" width="28.83203125" bestFit="1" customWidth="1"/>
    <col min="4444" max="4444" width="30.6640625" bestFit="1" customWidth="1"/>
    <col min="4445" max="4445" width="34.83203125" bestFit="1" customWidth="1"/>
    <col min="4446" max="4446" width="34" bestFit="1" customWidth="1"/>
    <col min="4447" max="4447" width="35.83203125" bestFit="1" customWidth="1"/>
    <col min="4448" max="4448" width="34.83203125" bestFit="1" customWidth="1"/>
    <col min="4449" max="4449" width="34" bestFit="1" customWidth="1"/>
    <col min="4450" max="4450" width="35.83203125" bestFit="1" customWidth="1"/>
    <col min="4451" max="4451" width="29.5" bestFit="1" customWidth="1"/>
    <col min="4452" max="4452" width="28.83203125" bestFit="1" customWidth="1"/>
    <col min="4453" max="4453" width="30.6640625" bestFit="1" customWidth="1"/>
    <col min="4454" max="4454" width="34.83203125" bestFit="1" customWidth="1"/>
    <col min="4455" max="4455" width="34" bestFit="1" customWidth="1"/>
    <col min="4456" max="4456" width="35.83203125" bestFit="1" customWidth="1"/>
    <col min="4457" max="4457" width="34.83203125" bestFit="1" customWidth="1"/>
    <col min="4458" max="4458" width="34" bestFit="1" customWidth="1"/>
    <col min="4459" max="4459" width="35.83203125" bestFit="1" customWidth="1"/>
    <col min="4460" max="4460" width="29.5" bestFit="1" customWidth="1"/>
    <col min="4461" max="4461" width="28.83203125" bestFit="1" customWidth="1"/>
    <col min="4462" max="4462" width="30.6640625" bestFit="1" customWidth="1"/>
    <col min="4463" max="4463" width="34.83203125" bestFit="1" customWidth="1"/>
    <col min="4464" max="4464" width="34" bestFit="1" customWidth="1"/>
    <col min="4465" max="4465" width="35.83203125" bestFit="1" customWidth="1"/>
    <col min="4466" max="4466" width="34.83203125" bestFit="1" customWidth="1"/>
    <col min="4467" max="4467" width="34" bestFit="1" customWidth="1"/>
    <col min="4468" max="4468" width="35.83203125" bestFit="1" customWidth="1"/>
    <col min="4469" max="4469" width="33.6640625" bestFit="1" customWidth="1"/>
    <col min="4470" max="4470" width="33" bestFit="1" customWidth="1"/>
    <col min="4471" max="4471" width="34.83203125" bestFit="1" customWidth="1"/>
    <col min="4472" max="4472" width="12.1640625" bestFit="1" customWidth="1"/>
    <col min="4473" max="4473" width="14.83203125" bestFit="1" customWidth="1"/>
    <col min="4474" max="4474" width="13" bestFit="1" customWidth="1"/>
    <col min="4475" max="4475" width="12.1640625" bestFit="1" customWidth="1"/>
    <col min="4476" max="4476" width="14.83203125" bestFit="1" customWidth="1"/>
    <col min="4477" max="4477" width="13" bestFit="1" customWidth="1"/>
    <col min="4478" max="4478" width="12.1640625" bestFit="1" customWidth="1"/>
    <col min="4479" max="4479" width="14.83203125" bestFit="1" customWidth="1"/>
    <col min="4480" max="4480" width="13" bestFit="1" customWidth="1"/>
    <col min="4481" max="4481" width="11.6640625" bestFit="1" customWidth="1"/>
    <col min="4482" max="4482" width="14.83203125" bestFit="1" customWidth="1"/>
    <col min="4483" max="4483" width="13" bestFit="1" customWidth="1"/>
    <col min="4484" max="4484" width="11.6640625" bestFit="1" customWidth="1"/>
    <col min="4485" max="4485" width="14.83203125" bestFit="1" customWidth="1"/>
    <col min="4486" max="4486" width="13" bestFit="1" customWidth="1"/>
    <col min="4487" max="4487" width="11.6640625" bestFit="1" customWidth="1"/>
    <col min="4488" max="4488" width="14.83203125" bestFit="1" customWidth="1"/>
    <col min="4489" max="4489" width="13" bestFit="1" customWidth="1"/>
    <col min="4490" max="4490" width="11.6640625" bestFit="1" customWidth="1"/>
    <col min="4491" max="4491" width="14.83203125" bestFit="1" customWidth="1"/>
    <col min="4492" max="4492" width="13" bestFit="1" customWidth="1"/>
    <col min="4493" max="4493" width="12.1640625" bestFit="1" customWidth="1"/>
    <col min="4494" max="4494" width="14.83203125" bestFit="1" customWidth="1"/>
    <col min="4495" max="4495" width="13" bestFit="1" customWidth="1"/>
    <col min="4496" max="4496" width="12.1640625" bestFit="1" customWidth="1"/>
    <col min="4497" max="4497" width="14.83203125" bestFit="1" customWidth="1"/>
    <col min="4498" max="4498" width="13" bestFit="1" customWidth="1"/>
    <col min="4499" max="4499" width="11.6640625" bestFit="1" customWidth="1"/>
    <col min="4500" max="4500" width="14.83203125" bestFit="1" customWidth="1"/>
    <col min="4501" max="4501" width="13" bestFit="1" customWidth="1"/>
    <col min="4502" max="4502" width="11.6640625" bestFit="1" customWidth="1"/>
    <col min="4503" max="4503" width="14.83203125" bestFit="1" customWidth="1"/>
    <col min="4504" max="4504" width="13" bestFit="1" customWidth="1"/>
    <col min="4505" max="4505" width="11.6640625" bestFit="1" customWidth="1"/>
    <col min="4506" max="4506" width="14.83203125" bestFit="1" customWidth="1"/>
    <col min="4507" max="4507" width="13" bestFit="1" customWidth="1"/>
    <col min="4508" max="4508" width="11.6640625" bestFit="1" customWidth="1"/>
    <col min="4509" max="4509" width="14.83203125" bestFit="1" customWidth="1"/>
    <col min="4510" max="4510" width="13" bestFit="1" customWidth="1"/>
    <col min="4511" max="4511" width="11.6640625" bestFit="1" customWidth="1"/>
    <col min="4512" max="4512" width="14.83203125" bestFit="1" customWidth="1"/>
    <col min="4513" max="4513" width="13" bestFit="1" customWidth="1"/>
    <col min="4514" max="4514" width="11.6640625" bestFit="1" customWidth="1"/>
    <col min="4515" max="4515" width="14.83203125" bestFit="1" customWidth="1"/>
    <col min="4516" max="4516" width="13" bestFit="1" customWidth="1"/>
    <col min="4517" max="4517" width="12.1640625" bestFit="1" customWidth="1"/>
    <col min="4518" max="4518" width="14.83203125" bestFit="1" customWidth="1"/>
    <col min="4519" max="4519" width="13" bestFit="1" customWidth="1"/>
    <col min="4520" max="4520" width="12.1640625" bestFit="1" customWidth="1"/>
    <col min="4521" max="4521" width="14.83203125" bestFit="1" customWidth="1"/>
    <col min="4522" max="4522" width="13" bestFit="1" customWidth="1"/>
    <col min="4523" max="4523" width="11.6640625" bestFit="1" customWidth="1"/>
    <col min="4524" max="4524" width="14.83203125" bestFit="1" customWidth="1"/>
    <col min="4525" max="4525" width="13" bestFit="1" customWidth="1"/>
    <col min="4526" max="4526" width="11.6640625" bestFit="1" customWidth="1"/>
    <col min="4527" max="4527" width="14.83203125" bestFit="1" customWidth="1"/>
    <col min="4528" max="4528" width="13" bestFit="1" customWidth="1"/>
    <col min="4529" max="4529" width="12.1640625" bestFit="1" customWidth="1"/>
    <col min="4530" max="4530" width="14.83203125" bestFit="1" customWidth="1"/>
    <col min="4531" max="4531" width="13" bestFit="1" customWidth="1"/>
    <col min="4532" max="4532" width="34.5" bestFit="1" customWidth="1"/>
    <col min="4533" max="4533" width="35.6640625" bestFit="1" customWidth="1"/>
    <col min="4534" max="4534" width="37.5" bestFit="1" customWidth="1"/>
  </cols>
  <sheetData>
    <row r="4" spans="1:7" x14ac:dyDescent="0.2">
      <c r="A4" s="22" t="s">
        <v>33</v>
      </c>
      <c r="B4" t="s">
        <v>30</v>
      </c>
      <c r="F4" s="22" t="s">
        <v>33</v>
      </c>
      <c r="G4" t="s">
        <v>31</v>
      </c>
    </row>
    <row r="5" spans="1:7" x14ac:dyDescent="0.2">
      <c r="A5" s="23">
        <v>18</v>
      </c>
      <c r="B5" s="19">
        <v>836803032</v>
      </c>
      <c r="F5" s="23">
        <v>18</v>
      </c>
      <c r="G5">
        <v>15050189.484421248</v>
      </c>
    </row>
    <row r="6" spans="1:7" x14ac:dyDescent="0.2">
      <c r="A6" s="23">
        <v>19</v>
      </c>
      <c r="B6" s="19">
        <v>983915409.85664999</v>
      </c>
      <c r="F6" s="23">
        <v>19</v>
      </c>
      <c r="G6">
        <v>17810866.503784601</v>
      </c>
    </row>
    <row r="7" spans="1:7" x14ac:dyDescent="0.2">
      <c r="A7" s="23">
        <v>20</v>
      </c>
      <c r="B7" s="19">
        <v>947263006.72395003</v>
      </c>
      <c r="F7" s="23">
        <v>20</v>
      </c>
      <c r="G7">
        <v>17504431.254499577</v>
      </c>
    </row>
    <row r="8" spans="1:7" x14ac:dyDescent="0.2">
      <c r="A8" s="23">
        <v>21</v>
      </c>
      <c r="B8" s="19">
        <v>1002691883.0466</v>
      </c>
      <c r="F8" s="23">
        <v>21</v>
      </c>
      <c r="G8">
        <v>18752594.736982953</v>
      </c>
    </row>
    <row r="9" spans="1:7" x14ac:dyDescent="0.2">
      <c r="A9" s="23">
        <v>22</v>
      </c>
      <c r="B9" s="19">
        <v>1055653508.75385</v>
      </c>
      <c r="F9" s="23">
        <v>22</v>
      </c>
      <c r="G9">
        <v>20458986.916362662</v>
      </c>
    </row>
    <row r="10" spans="1:7" x14ac:dyDescent="0.2">
      <c r="A10" s="23">
        <v>23</v>
      </c>
      <c r="B10" s="19">
        <v>136032376.68134999</v>
      </c>
      <c r="F10" s="23">
        <v>23</v>
      </c>
      <c r="G10">
        <v>2786041.4356766073</v>
      </c>
    </row>
    <row r="11" spans="1:7" x14ac:dyDescent="0.2">
      <c r="A11" s="23" t="s">
        <v>27</v>
      </c>
      <c r="B11" s="19">
        <v>4962359217.0623999</v>
      </c>
      <c r="F11" s="23" t="s">
        <v>27</v>
      </c>
      <c r="G11">
        <v>92363110.331727639</v>
      </c>
    </row>
    <row r="31" spans="4:7" x14ac:dyDescent="0.2">
      <c r="D31" s="29" t="s">
        <v>34</v>
      </c>
      <c r="E31" s="30"/>
      <c r="F31" s="30"/>
      <c r="G31" s="31"/>
    </row>
    <row r="32" spans="4:7" x14ac:dyDescent="0.2">
      <c r="D32" s="32"/>
      <c r="E32" s="33"/>
      <c r="F32" s="33"/>
      <c r="G32" s="34"/>
    </row>
  </sheetData>
  <mergeCells count="1">
    <mergeCell ref="D31:G32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Топ 3 за последнюю неделю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Sabyrzhan Amrenov</cp:lastModifiedBy>
  <dcterms:created xsi:type="dcterms:W3CDTF">2021-09-13T10:17:58Z</dcterms:created>
  <dcterms:modified xsi:type="dcterms:W3CDTF">2026-10-04T23:23:35Z</dcterms:modified>
</cp:coreProperties>
</file>